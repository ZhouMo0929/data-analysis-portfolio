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
    Type="http://schemas.openxmlformats.org/officeDocument/2006/relationships/officeDocument"
   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/>
  <workbookPr defaultThemeVersion="166925"/>
  <bookViews>
    <workbookView xWindow="0" yWindow="0" windowWidth="20140" windowHeight="10960"/>
  </bookViews>
  <sheets>
    <sheet name="看板" sheetId="1" r:id="rId1"/>
    <sheet name="销售明细" sheetId="2" r:id="rId4"/>
    <sheet name="参数设置" sheetId="3" r:id="rId5"/>
    <sheet name="说明" sheetId="4" r:id="rId6"/>
  </sheets>
  <calcPr calcId="191029" fullCalcOnLoad="1"/>
</workbook>
</file>

<file path=xl/sharedStrings.xml><?xml version="1.0" encoding="utf-8"?>
<sst xmlns="http://schemas.openxmlformats.org/spreadsheetml/2006/main" count="692" uniqueCount="189">
  <si>
    <t xml:space="preserve">2026 上半年销售业绩看板</t>
  </si>
  <si>
    <t xml:space="preserve">数据区间 2026-01-01 至 2026-06-30　｜　金额单位：元　｜　数据源：销售明细</t>
  </si>
  <si>
    <t xml:space="preserve">总销售额</t>
  </si>
  <si>
    <t xml:space="preserve">总毛利</t>
  </si>
  <si>
    <t xml:space="preserve">综合毛利率</t>
  </si>
  <si>
    <t xml:space="preserve">订单总数</t>
  </si>
  <si>
    <t xml:space="preserve">月度销售趋势</t>
  </si>
  <si>
    <t xml:space="preserve">月份</t>
  </si>
  <si>
    <t xml:space="preserve">销售额</t>
  </si>
  <si>
    <t xml:space="preserve">毛利</t>
  </si>
  <si>
    <t xml:space="preserve">毛利率</t>
  </si>
  <si>
    <t xml:space="preserve">环比增长</t>
  </si>
  <si>
    <t xml:space="preserve">合计</t>
  </si>
  <si>
    <t xml:space="preserve">区域销售业绩</t>
  </si>
  <si>
    <t xml:space="preserve">区域</t>
  </si>
  <si>
    <t xml:space="preserve">占比</t>
  </si>
  <si>
    <t xml:space="preserve">订单数</t>
  </si>
  <si>
    <t xml:space="preserve">半年目标</t>
  </si>
  <si>
    <t xml:space="preserve">达成率</t>
  </si>
  <si>
    <t xml:space="preserve">华东</t>
  </si>
  <si>
    <t xml:space="preserve">华南</t>
  </si>
  <si>
    <t xml:space="preserve">华北</t>
  </si>
  <si>
    <t xml:space="preserve">西南</t>
  </si>
  <si>
    <t xml:space="preserve">华中</t>
  </si>
  <si>
    <t xml:space="preserve">产品类别销售</t>
  </si>
  <si>
    <t xml:space="preserve">产品类别</t>
  </si>
  <si>
    <t xml:space="preserve">笔记本电脑</t>
  </si>
  <si>
    <t xml:space="preserve">显示器</t>
  </si>
  <si>
    <t xml:space="preserve">键鼠外设</t>
  </si>
  <si>
    <t xml:space="preserve">存储设备</t>
  </si>
  <si>
    <t xml:space="preserve">办公耗材</t>
  </si>
  <si>
    <t xml:space="preserve">销售员业绩</t>
  </si>
  <si>
    <t xml:space="preserve">销售员</t>
  </si>
  <si>
    <t xml:space="preserve">所属区域</t>
  </si>
  <si>
    <t xml:space="preserve">张伟</t>
  </si>
  <si>
    <t xml:space="preserve">李娜</t>
  </si>
  <si>
    <t xml:space="preserve">王强</t>
  </si>
  <si>
    <t xml:space="preserve">刘洋</t>
  </si>
  <si>
    <t xml:space="preserve">陈静</t>
  </si>
  <si>
    <t xml:space="preserve">周敏</t>
  </si>
  <si>
    <t xml:space="preserve">赵磊</t>
  </si>
  <si>
    <t xml:space="preserve">孙悦</t>
  </si>
  <si>
    <t xml:space="preserve">日期</t>
  </si>
  <si>
    <t xml:space="preserve">订单编号</t>
  </si>
  <si>
    <t xml:space="preserve">产品名称</t>
  </si>
  <si>
    <t xml:space="preserve">数量</t>
  </si>
  <si>
    <t xml:space="preserve">单价</t>
  </si>
  <si>
    <t xml:space="preserve">单位成本</t>
  </si>
  <si>
    <t xml:space="preserve">SO20260068</t>
  </si>
  <si>
    <t xml:space="preserve">A4 复印纸 (箱)</t>
  </si>
  <si>
    <t xml:space="preserve">SO20260114</t>
  </si>
  <si>
    <t xml:space="preserve">移动固态硬盘 1TB</t>
  </si>
  <si>
    <t xml:space="preserve">SO20260071</t>
  </si>
  <si>
    <t xml:space="preserve">27吋 2K 显示器</t>
  </si>
  <si>
    <t xml:space="preserve">SO20260092</t>
  </si>
  <si>
    <t xml:space="preserve">无线鼠标 M5</t>
  </si>
  <si>
    <t xml:space="preserve">SO20260002</t>
  </si>
  <si>
    <t xml:space="preserve">激光硒鼓</t>
  </si>
  <si>
    <t xml:space="preserve">SO20260094</t>
  </si>
  <si>
    <t xml:space="preserve">SO20260106</t>
  </si>
  <si>
    <t xml:space="preserve">SO20260037</t>
  </si>
  <si>
    <t xml:space="preserve">星辰 14 Pro 笔记本</t>
  </si>
  <si>
    <t xml:space="preserve">SO20260017</t>
  </si>
  <si>
    <t xml:space="preserve">SO20260005</t>
  </si>
  <si>
    <t xml:space="preserve">SO20260063</t>
  </si>
  <si>
    <t xml:space="preserve">SO20260120</t>
  </si>
  <si>
    <t xml:space="preserve">32吋 4K 显示器</t>
  </si>
  <si>
    <t xml:space="preserve">SO20260023</t>
  </si>
  <si>
    <t xml:space="preserve">机械键盘 K3</t>
  </si>
  <si>
    <t xml:space="preserve">SO20260059</t>
  </si>
  <si>
    <t xml:space="preserve">U盘 128G</t>
  </si>
  <si>
    <t xml:space="preserve">SO20260082</t>
  </si>
  <si>
    <t xml:space="preserve">SO20260034</t>
  </si>
  <si>
    <t xml:space="preserve">星辰 16 Air 笔记本</t>
  </si>
  <si>
    <t xml:space="preserve">SO20260080</t>
  </si>
  <si>
    <t xml:space="preserve">SO20260022</t>
  </si>
  <si>
    <t xml:space="preserve">SO20260029</t>
  </si>
  <si>
    <t xml:space="preserve">SO20260077</t>
  </si>
  <si>
    <t xml:space="preserve">SO20260007</t>
  </si>
  <si>
    <t xml:space="preserve">SO20260048</t>
  </si>
  <si>
    <t xml:space="preserve">SO20260025</t>
  </si>
  <si>
    <t xml:space="preserve">SO20260038</t>
  </si>
  <si>
    <t xml:space="preserve">SO20260067</t>
  </si>
  <si>
    <t xml:space="preserve">SO20260013</t>
  </si>
  <si>
    <t xml:space="preserve">SO20260056</t>
  </si>
  <si>
    <t xml:space="preserve">SO20260083</t>
  </si>
  <si>
    <t xml:space="preserve">SO20260041</t>
  </si>
  <si>
    <t xml:space="preserve">SO20260084</t>
  </si>
  <si>
    <t xml:space="preserve">SO20260064</t>
  </si>
  <si>
    <t xml:space="preserve">SO20260118</t>
  </si>
  <si>
    <t xml:space="preserve">SO20260027</t>
  </si>
  <si>
    <t xml:space="preserve">SO20260035</t>
  </si>
  <si>
    <t xml:space="preserve">SO20260055</t>
  </si>
  <si>
    <t xml:space="preserve">SO20260001</t>
  </si>
  <si>
    <t xml:space="preserve">SO20260047</t>
  </si>
  <si>
    <t xml:space="preserve">SO20260072</t>
  </si>
  <si>
    <t xml:space="preserve">SO20260095</t>
  </si>
  <si>
    <t xml:space="preserve">SO20260112</t>
  </si>
  <si>
    <t xml:space="preserve">SO20260006</t>
  </si>
  <si>
    <t xml:space="preserve">SO20260020</t>
  </si>
  <si>
    <t xml:space="preserve">SO20260033</t>
  </si>
  <si>
    <t xml:space="preserve">SO20260075</t>
  </si>
  <si>
    <t xml:space="preserve">SO20260115</t>
  </si>
  <si>
    <t xml:space="preserve">SO20260103</t>
  </si>
  <si>
    <t xml:space="preserve">SO20260043</t>
  </si>
  <si>
    <t xml:space="preserve">SO20260040</t>
  </si>
  <si>
    <t xml:space="preserve">SO20260004</t>
  </si>
  <si>
    <t xml:space="preserve">SO20260087</t>
  </si>
  <si>
    <t xml:space="preserve">SO20260108</t>
  </si>
  <si>
    <t xml:space="preserve">SO20260116</t>
  </si>
  <si>
    <t xml:space="preserve">SO20260024</t>
  </si>
  <si>
    <t xml:space="preserve">SO20260086</t>
  </si>
  <si>
    <t xml:space="preserve">SO20260065</t>
  </si>
  <si>
    <t xml:space="preserve">SO20260105</t>
  </si>
  <si>
    <t xml:space="preserve">SO20260079</t>
  </si>
  <si>
    <t xml:space="preserve">SO20260117</t>
  </si>
  <si>
    <t xml:space="preserve">SO20260109</t>
  </si>
  <si>
    <t xml:space="preserve">SO20260049</t>
  </si>
  <si>
    <t xml:space="preserve">SO20260030</t>
  </si>
  <si>
    <t xml:space="preserve">SO20260044</t>
  </si>
  <si>
    <t xml:space="preserve">SO20260015</t>
  </si>
  <si>
    <t xml:space="preserve">SO20260039</t>
  </si>
  <si>
    <t xml:space="preserve">SO20260078</t>
  </si>
  <si>
    <t xml:space="preserve">SO20260111</t>
  </si>
  <si>
    <t xml:space="preserve">SO20260053</t>
  </si>
  <si>
    <t xml:space="preserve">SO20260098</t>
  </si>
  <si>
    <t xml:space="preserve">SO20260014</t>
  </si>
  <si>
    <t xml:space="preserve">SO20260016</t>
  </si>
  <si>
    <t xml:space="preserve">SO20260096</t>
  </si>
  <si>
    <t xml:space="preserve">SO20260012</t>
  </si>
  <si>
    <t xml:space="preserve">SO20260088</t>
  </si>
  <si>
    <t xml:space="preserve">SO20260110</t>
  </si>
  <si>
    <t xml:space="preserve">SO20260051</t>
  </si>
  <si>
    <t xml:space="preserve">SO20260061</t>
  </si>
  <si>
    <t xml:space="preserve">SO20260076</t>
  </si>
  <si>
    <t xml:space="preserve">SO20260104</t>
  </si>
  <si>
    <t xml:space="preserve">SO20260081</t>
  </si>
  <si>
    <t xml:space="preserve">SO20260060</t>
  </si>
  <si>
    <t xml:space="preserve">SO20260097</t>
  </si>
  <si>
    <t xml:space="preserve">SO20260019</t>
  </si>
  <si>
    <t xml:space="preserve">SO20260011</t>
  </si>
  <si>
    <t xml:space="preserve">SO20260066</t>
  </si>
  <si>
    <t xml:space="preserve">SO20260046</t>
  </si>
  <si>
    <t xml:space="preserve">SO20260085</t>
  </si>
  <si>
    <t xml:space="preserve">SO20260069</t>
  </si>
  <si>
    <t xml:space="preserve">SO20260028</t>
  </si>
  <si>
    <t xml:space="preserve">SO20260032</t>
  </si>
  <si>
    <t xml:space="preserve">SO20260113</t>
  </si>
  <si>
    <t xml:space="preserve">SO20260050</t>
  </si>
  <si>
    <t xml:space="preserve">SO20260090</t>
  </si>
  <si>
    <t xml:space="preserve">SO20260009</t>
  </si>
  <si>
    <t xml:space="preserve">SO20260074</t>
  </si>
  <si>
    <t xml:space="preserve">SO20260036</t>
  </si>
  <si>
    <t xml:space="preserve">SO20260099</t>
  </si>
  <si>
    <t xml:space="preserve">SO20260107</t>
  </si>
  <si>
    <t xml:space="preserve">SO20260101</t>
  </si>
  <si>
    <t xml:space="preserve">SO20260093</t>
  </si>
  <si>
    <t xml:space="preserve">SO20260100</t>
  </si>
  <si>
    <t xml:space="preserve">SO20260045</t>
  </si>
  <si>
    <t xml:space="preserve">SO20260042</t>
  </si>
  <si>
    <t xml:space="preserve">SO20260062</t>
  </si>
  <si>
    <t xml:space="preserve">SO20260008</t>
  </si>
  <si>
    <t xml:space="preserve">SO20260003</t>
  </si>
  <si>
    <t xml:space="preserve">SO20260052</t>
  </si>
  <si>
    <t xml:space="preserve">SO20260073</t>
  </si>
  <si>
    <t xml:space="preserve">SO20260057</t>
  </si>
  <si>
    <t xml:space="preserve">SO20260010</t>
  </si>
  <si>
    <t xml:space="preserve">SO20260021</t>
  </si>
  <si>
    <t xml:space="preserve">SO20260026</t>
  </si>
  <si>
    <t xml:space="preserve">SO20260031</t>
  </si>
  <si>
    <t xml:space="preserve">SO20260058</t>
  </si>
  <si>
    <t xml:space="preserve">SO20260091</t>
  </si>
  <si>
    <t xml:space="preserve">SO20260054</t>
  </si>
  <si>
    <t xml:space="preserve">SO20260070</t>
  </si>
  <si>
    <t xml:space="preserve">SO20260018</t>
  </si>
  <si>
    <t xml:space="preserve">SO20260102</t>
  </si>
  <si>
    <t xml:space="preserve">SO20260089</t>
  </si>
  <si>
    <t xml:space="preserve">SO20260119</t>
  </si>
  <si>
    <t xml:space="preserve">参数与目标设置</t>
  </si>
  <si>
    <t xml:space="preserve">蓝色字体为可调整参数，修改后“看板”自动刷新</t>
  </si>
  <si>
    <t xml:space="preserve">半年目标(元)</t>
  </si>
  <si>
    <t xml:space="preserve">使用说明与数据口径</t>
  </si>
  <si>
    <t xml:space="preserve">【数据范围】2026-01-01 至 2026-06-30，共 120 笔订单，覆盖 5 个区域、8 名销售员、5 个产品类别。</t>
  </si>
  <si>
    <t xml:space="preserve">【数据来源】本表为模板演示用的模拟数据。把“销售明细”中的内容替换为真实流水，看板即自动重算。</t>
  </si>
  <si>
    <t xml:space="preserve">【计算口径】销售额 = 数量 × 单价；毛利 = 销售额 − 数量 × 单位成本；毛利率 = 毛利 ÷ 销售额；占比 = 明细项 ÷ 合计。</t>
  </si>
  <si>
    <t xml:space="preserve">【颜色约定】蓝色字体 = 需人工填写、可随时调整的参数；黑色字体 = 公式自动计算；绿色字体 = 引用其他工作表的数据。</t>
  </si>
  <si>
    <t xml:space="preserve">【更新方式】在“销售明细”追加数据行后，请同步把看板中 SUMIFS/COUNTIF 的区间从第 121 行扩展到新的末行。</t>
  </si>
  <si>
    <t xml:space="preserve">【目标维护】在“参数设置”表调整各区域半年目标，看板的“达成率”与数据条会自动刷新。</t>
  </si>
  <si>
    <t xml:space="preserve">【制作说明】看板未使用 Excel 图表对象，改用单元格内数据条（条件格式），因此在任何 Excel / WPS 版本中都能原样显示。</t>
  </si>
</sst>
</file>

<file path=xl/styles.xml><?xml version="1.0" encoding="utf-8"?>
<styleSheet xmlns="http://schemas.openxmlformats.org/spreadsheetml/2006/main">
  <numFmts count="7">
    <numFmt numFmtId="164" formatCode="$#,##0;($#,##0);&quot;-&quot;"/>
    <numFmt numFmtId="165" formatCode="0.0%"/>
    <numFmt numFmtId="166" formatCode="0.0x"/>
    <numFmt numFmtId="167" formatCode="#,##0"/>
    <numFmt numFmtId="168" formatCode="&quot;¥&quot;#,##0;&quot;¥&quot;-#,##0;&quot;-&quot;"/>
    <numFmt numFmtId="169" formatCode="0&quot;月&quot;"/>
    <numFmt numFmtId="170" formatCode="yyyy-mm-dd"/>
  </numFmts>
  <fonts count="10">
    <font>
      <sz val="11"/>
      <name val="Calibri"/>
    </font>
    <font>
      <sz val="11"/>
      <name val="Calibri"/>
      <color rgb="000000FF"/>
    </font>
    <font>
      <sz val="11"/>
      <name val="Calibri"/>
      <color rgb="00000000"/>
    </font>
    <font>
      <sz val="11"/>
      <name val="Calibri"/>
      <color rgb="00008000"/>
    </font>
    <font>
      <b/>
      <sz val="11"/>
      <name val="Calibri"/>
      <color rgb="00000000"/>
    </font>
    <font>
      <b/>
      <sz val="16"/>
      <name val="Calibri"/>
      <color rgb="000C447C"/>
    </font>
    <font>
      <sz val="10"/>
      <name val="Calibri"/>
      <color rgb="005F5E5A"/>
    </font>
    <font>
      <b/>
      <sz val="10"/>
      <name val="Calibri"/>
      <color rgb="000C447C"/>
    </font>
    <font>
      <b/>
      <sz val="16"/>
      <name val="Calibri"/>
      <color rgb="000C447C"/>
    </font>
    <font>
      <b/>
      <sz val="12"/>
      <name val="Calibri"/>
      <color rgb="00FFFFFF"/>
    </font>
  </fonts>
  <fills count="5">
    <fill>
      <patternFill patternType="none"/>
    </fill>
    <fill>
      <patternFill patternType="gray125"/>
    </fill>
    <fill>
      <patternFill patternType="solid">
        <fgColor rgb="00FFFF00"/>
        <bgColor indexed="64"/>
      </patternFill>
    </fill>
    <fill>
      <patternFill patternType="solid">
        <fgColor rgb="00E6F1FB"/>
        <bgColor indexed="64"/>
      </patternFill>
    </fill>
    <fill>
      <patternFill patternType="solid">
        <fgColor rgb="00185FA5"/>
        <bgColor indexed="64"/>
      </patternFill>
    </fill>
  </fills>
  <borders count="3">
    <border>
      <left/>
      <right/>
      <top/>
      <bottom/>
      <diagonal/>
    </border>
    <border>
      <left style="thin">
        <color rgb="00D3D1C7"/>
      </left>
      <right style="thin">
        <color rgb="00D3D1C7"/>
      </right>
      <top style="thin">
        <color rgb="00D3D1C7"/>
      </top>
      <bottom style="thin">
        <color rgb="00D3D1C7"/>
      </bottom>
      <diagonal/>
    </border>
    <border>
      <left/>
      <right/>
      <top style="medium">
        <color rgb="005F5E5A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64" fontId="1" fillId="0" borderId="0" xfId="0" applyFont="1" applyNumberFormat="1"/>
    <xf numFmtId="164" fontId="2" fillId="0" borderId="0" xfId="0" applyFont="1" applyNumberFormat="1"/>
    <xf numFmtId="165" fontId="1" fillId="0" borderId="0" xfId="0" applyFont="1" applyNumberFormat="1"/>
    <xf numFmtId="165" fontId="2" fillId="0" borderId="0" xfId="0" applyFont="1" applyNumberFormat="1"/>
    <xf numFmtId="167" fontId="1" fillId="0" borderId="0" xfId="0" applyFont="1" applyNumberFormat="1"/>
    <xf numFmtId="167" fontId="2" fillId="0" borderId="0" xfId="0" applyFont="1" applyNumberFormat="1"/>
    <xf numFmtId="1" fontId="1" fillId="0" borderId="0" xfId="0" applyFont="1" applyNumberFormat="1"/>
    <xf numFmtId="0" fontId="1" fillId="2" borderId="0" xfId="0" applyFont="1" applyFill="1"/>
    <xf numFmtId="169" fontId="0" fillId="0" borderId="0" xfId="0" applyNumberFormat="1"/>
    <xf numFmtId="0" fontId="5" fillId="0" borderId="0" xfId="0" applyFont="1"/>
    <xf numFmtId="0" fontId="6" fillId="0" borderId="0" xfId="0" applyFont="1"/>
    <xf numFmtId="0" fontId="7" fillId="3" borderId="0" xfId="0" applyFont="1" applyFill="1" applyAlignment="1">
      <alignment horizontal="center" vertical="center"/>
    </xf>
    <xf numFmtId="168" fontId="8" fillId="3" borderId="0" xfId="0" applyFont="1" applyFill="1" applyNumberFormat="1" applyAlignment="1">
      <alignment horizontal="center" vertical="center"/>
    </xf>
    <xf numFmtId="165" fontId="8" fillId="3" borderId="0" xfId="0" applyFont="1" applyFill="1" applyNumberFormat="1" applyAlignment="1">
      <alignment horizontal="center" vertical="center"/>
    </xf>
    <xf numFmtId="167" fontId="8" fillId="3" borderId="0" xfId="0" applyFont="1" applyFill="1" applyNumberFormat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0" borderId="1" xfId="0" applyBorder="1"/>
    <xf numFmtId="168" fontId="2" fillId="0" borderId="1" xfId="0" applyFont="1" applyNumberFormat="1" applyBorder="1"/>
    <xf numFmtId="165" fontId="2" fillId="0" borderId="1" xfId="0" applyFont="1" applyNumberFormat="1" applyBorder="1"/>
    <xf numFmtId="167" fontId="2" fillId="0" borderId="1" xfId="0" applyFont="1" applyNumberFormat="1" applyBorder="1"/>
    <xf numFmtId="0" fontId="4" fillId="0" borderId="2" xfId="0" applyFont="1" applyBorder="1"/>
    <xf numFmtId="168" fontId="4" fillId="0" borderId="2" xfId="0" applyFont="1" applyNumberFormat="1" applyBorder="1"/>
    <xf numFmtId="165" fontId="4" fillId="0" borderId="2" xfId="0" applyFont="1" applyNumberFormat="1" applyBorder="1"/>
    <xf numFmtId="167" fontId="4" fillId="0" borderId="2" xfId="0" applyFont="1" applyNumberFormat="1" applyBorder="1"/>
    <xf numFmtId="168" fontId="1" fillId="0" borderId="1" xfId="0" applyFont="1" applyNumberFormat="1" applyBorder="1"/>
    <xf numFmtId="0" fontId="1" fillId="0" borderId="1" xfId="0" applyFont="1" applyBorder="1"/>
    <xf numFmtId="167" fontId="0" fillId="0" borderId="1" xfId="0" applyNumberFormat="1" applyBorder="1"/>
    <xf numFmtId="168" fontId="0" fillId="0" borderId="1" xfId="0" applyNumberFormat="1" applyBorder="1"/>
    <xf numFmtId="170" fontId="0" fillId="0" borderId="1" xfId="0" applyNumberFormat="1" applyBorder="1"/>
    <xf numFmtId="0" fontId="0" fillId="0" borderId="0" xfId="0" applyAlignment="1">
      <alignment vertical="top" wrapText="1"/>
    </xf>
    <xf numFmtId="0" fontId="4" fillId="0" borderId="0" xfId="0" applyFont="1"/>
    <xf numFmtId="168" fontId="3" fillId="0" borderId="1" xfId="0" applyFont="1" applyNumberFormat="1" applyBorder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4" Type="http://schemas.openxmlformats.org/officeDocument/2006/relationships/worksheet" Target="worksheets/sheet2.xml"/>
<Relationship Id="rId5" Type="http://schemas.openxmlformats.org/officeDocument/2006/relationships/worksheet" Target="worksheets/sheet3.xml"/>
<Relationship Id="rId6" Type="http://schemas.openxmlformats.org/officeDocument/2006/relationships/worksheet" Target="worksheets/sheet4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185FA5"/>
  </sheetPr>
  <dimension ref="A1:H45"/>
  <sheetViews>
    <sheetView showGridLines="0" tabSelected="1" workbookViewId="0"/>
  </sheetViews>
  <sheetFormatPr xmlns:x14ac="http://schemas.microsoft.com/office/spreadsheetml/2009/9/ac" defaultRowHeight="15" x14ac:dyDescent="0.25"/>
  <cols>
    <col min="1" max="1" width="10" customWidth="1"/>
    <col min="2" max="2" width="16" customWidth="1"/>
    <col min="3" max="3" width="12" customWidth="1"/>
    <col min="4" max="4" width="12" customWidth="1"/>
    <col min="5" max="5" width="12" customWidth="1"/>
    <col min="6" max="6" width="12" customWidth="1"/>
    <col min="7" max="7" width="12" customWidth="1"/>
    <col min="8" max="8" width="12" customWidth="1"/>
  </cols>
  <sheetData>
    <row r="1" ht="30" customHeight="1">
      <c r="A1" s="14" t="s">
        <v>0</v>
      </c>
      <c r="B1" s="14"/>
      <c r="C1" s="14"/>
      <c r="D1" s="14"/>
      <c r="E1" s="14"/>
      <c r="F1" s="14"/>
      <c r="G1" s="14"/>
      <c r="H1" s="14"/>
    </row>
    <row r="2" ht="18" customHeight="1">
      <c r="A2" s="15" t="s">
        <v>1</v>
      </c>
      <c r="B2" s="15"/>
      <c r="C2" s="15"/>
      <c r="D2" s="15"/>
      <c r="E2" s="15"/>
      <c r="F2" s="15"/>
      <c r="G2" s="15"/>
      <c r="H2" s="15"/>
    </row>
    <row r="3" ht="8" customHeight="1"/>
    <row r="4" ht="20" customHeight="1">
      <c r="A4" s="16" t="s">
        <v>2</v>
      </c>
      <c r="B4" s="16"/>
      <c r="C4" s="16" t="s">
        <v>3</v>
      </c>
      <c r="D4" s="16"/>
      <c r="E4" s="16" t="s">
        <v>4</v>
      </c>
      <c r="F4" s="16"/>
      <c r="G4" s="16" t="s">
        <v>5</v>
      </c>
      <c r="H4" s="16"/>
    </row>
    <row r="5" ht="34" customHeight="1">
      <c r="A5" s="17">
        <f>=B15</f>
        <v/>
      </c>
      <c r="B5" s="17"/>
      <c r="C5" s="17">
        <f>=C15</f>
        <v/>
      </c>
      <c r="D5" s="17"/>
      <c r="E5" s="18">
        <f>=IF(B15=0,0,C15/B15)</f>
        <v/>
      </c>
      <c r="F5" s="18"/>
      <c r="G5" s="19">
        <f>=D24</f>
        <v/>
      </c>
      <c r="H5" s="19"/>
    </row>
    <row r="6" ht="8" customHeight="1"/>
    <row r="7" ht="22" customHeight="1">
      <c r="A7" s="20" t="s">
        <v>6</v>
      </c>
      <c r="B7" s="20"/>
      <c r="C7" s="20"/>
      <c r="D7" s="20"/>
      <c r="E7" s="20"/>
      <c r="F7" s="20"/>
      <c r="G7" s="20"/>
      <c r="H7" s="20"/>
    </row>
    <row r="8" ht="20" customHeight="1">
      <c r="A8" s="21" t="s">
        <v>7</v>
      </c>
      <c r="B8" s="21" t="s">
        <v>8</v>
      </c>
      <c r="C8" s="21" t="s">
        <v>9</v>
      </c>
      <c r="D8" s="21" t="s">
        <v>10</v>
      </c>
      <c r="E8" s="21" t="s">
        <v>11</v>
      </c>
    </row>
    <row r="9">
      <c r="A9" s="13">
        <v>1</v>
      </c>
      <c r="B9" s="23">
        <f>SUMIFS(销售明细!$J$2:$J$121,销售明细!$M$2:$M$121,$A9)</f>
        <v/>
      </c>
      <c r="C9" s="23">
        <f>SUMIFS(销售明细!$K$2:$K$121,销售明细!$M$2:$M$121,$A9)</f>
        <v/>
      </c>
      <c r="D9" s="24">
        <f>IF(B9=0,0,C9/B9)</f>
        <v/>
      </c>
    </row>
    <row r="10">
      <c r="A10" s="13">
        <v>2</v>
      </c>
      <c r="B10" s="23">
        <f>SUMIFS(销售明细!$J$2:$J$121,销售明细!$M$2:$M$121,$A10)</f>
        <v/>
      </c>
      <c r="C10" s="23">
        <f>SUMIFS(销售明细!$K$2:$K$121,销售明细!$M$2:$M$121,$A10)</f>
        <v/>
      </c>
      <c r="D10" s="24">
        <f>IF(B10=0,0,C10/B10)</f>
        <v/>
      </c>
      <c r="E10" s="24">
        <f>IF(B9=0,0,B10/B9-1)</f>
        <v/>
      </c>
    </row>
    <row r="11">
      <c r="A11" s="13">
        <v>3</v>
      </c>
      <c r="B11" s="23">
        <f>SUMIFS(销售明细!$J$2:$J$121,销售明细!$M$2:$M$121,$A11)</f>
        <v/>
      </c>
      <c r="C11" s="23">
        <f>SUMIFS(销售明细!$K$2:$K$121,销售明细!$M$2:$M$121,$A11)</f>
        <v/>
      </c>
      <c r="D11" s="24">
        <f>IF(B11=0,0,C11/B11)</f>
        <v/>
      </c>
      <c r="E11" s="24">
        <f>IF(B10=0,0,B11/B10-1)</f>
        <v/>
      </c>
    </row>
    <row r="12">
      <c r="A12" s="13">
        <v>4</v>
      </c>
      <c r="B12" s="23">
        <f>SUMIFS(销售明细!$J$2:$J$121,销售明细!$M$2:$M$121,$A12)</f>
        <v/>
      </c>
      <c r="C12" s="23">
        <f>SUMIFS(销售明细!$K$2:$K$121,销售明细!$M$2:$M$121,$A12)</f>
        <v/>
      </c>
      <c r="D12" s="24">
        <f>IF(B12=0,0,C12/B12)</f>
        <v/>
      </c>
      <c r="E12" s="24">
        <f>IF(B11=0,0,B12/B11-1)</f>
        <v/>
      </c>
    </row>
    <row r="13">
      <c r="A13" s="13">
        <v>5</v>
      </c>
      <c r="B13" s="23">
        <f>SUMIFS(销售明细!$J$2:$J$121,销售明细!$M$2:$M$121,$A13)</f>
        <v/>
      </c>
      <c r="C13" s="23">
        <f>SUMIFS(销售明细!$K$2:$K$121,销售明细!$M$2:$M$121,$A13)</f>
        <v/>
      </c>
      <c r="D13" s="24">
        <f>IF(B13=0,0,C13/B13)</f>
        <v/>
      </c>
      <c r="E13" s="24">
        <f>IF(B12=0,0,B13/B12-1)</f>
        <v/>
      </c>
    </row>
    <row r="14">
      <c r="A14" s="13">
        <v>6</v>
      </c>
      <c r="B14" s="23">
        <f>SUMIFS(销售明细!$J$2:$J$121,销售明细!$M$2:$M$121,$A14)</f>
        <v/>
      </c>
      <c r="C14" s="23">
        <f>SUMIFS(销售明细!$K$2:$K$121,销售明细!$M$2:$M$121,$A14)</f>
        <v/>
      </c>
      <c r="D14" s="24">
        <f>IF(B14=0,0,C14/B14)</f>
        <v/>
      </c>
      <c r="E14" s="24">
        <f>IF(B13=0,0,B14/B13-1)</f>
        <v/>
      </c>
    </row>
    <row r="15" ht="20" customHeight="1">
      <c r="A15" s="26" t="s">
        <v>12</v>
      </c>
      <c r="B15" s="27">
        <f>SUM(B9:B14)</f>
        <v/>
      </c>
      <c r="C15" s="27">
        <f>SUM(C9:C14)</f>
        <v/>
      </c>
      <c r="D15" s="28">
        <f>IF(B15=0,0,C15/B15)</f>
        <v/>
      </c>
      <c r="E15" s="26"/>
    </row>
    <row r="16" ht="8" customHeight="1"/>
    <row r="17" ht="22" customHeight="1">
      <c r="A17" s="20" t="s">
        <v>13</v>
      </c>
      <c r="B17" s="20"/>
      <c r="C17" s="20"/>
      <c r="D17" s="20"/>
      <c r="E17" s="20"/>
      <c r="F17" s="20"/>
      <c r="G17" s="20"/>
      <c r="H17" s="20"/>
    </row>
    <row r="18" ht="20" customHeight="1">
      <c r="A18" s="21" t="s">
        <v>14</v>
      </c>
      <c r="B18" s="21" t="s">
        <v>8</v>
      </c>
      <c r="C18" s="21" t="s">
        <v>15</v>
      </c>
      <c r="D18" s="21" t="s">
        <v>16</v>
      </c>
      <c r="E18" s="21" t="s">
        <v>17</v>
      </c>
      <c r="F18" s="21" t="s">
        <v>18</v>
      </c>
    </row>
    <row r="19">
      <c r="A19" s="22" t="s">
        <v>19</v>
      </c>
      <c r="B19" s="23">
        <f>SUMIFS(销售明细!$J$2:$J$121,销售明细!$C$2:$C$121,$A19)</f>
        <v/>
      </c>
      <c r="C19" s="24">
        <f>IF($B$24=0,0,B19/$B$24)</f>
        <v/>
      </c>
      <c r="D19" s="25">
        <f>COUNTIF(销售明细!$C$2:$C$121,$A19)</f>
        <v/>
      </c>
      <c r="E19" s="37">
        <f>参数设置!B5</f>
        <v/>
      </c>
      <c r="F19" s="24">
        <f>IF(E19=0,0,B19/E19)</f>
        <v/>
      </c>
    </row>
    <row r="20">
      <c r="A20" s="22" t="s">
        <v>20</v>
      </c>
      <c r="B20" s="23">
        <f>SUMIFS(销售明细!$J$2:$J$121,销售明细!$C$2:$C$121,$A20)</f>
        <v/>
      </c>
      <c r="C20" s="24">
        <f>IF($B$24=0,0,B20/$B$24)</f>
        <v/>
      </c>
      <c r="D20" s="25">
        <f>COUNTIF(销售明细!$C$2:$C$121,$A20)</f>
        <v/>
      </c>
      <c r="E20" s="37">
        <f>参数设置!B6</f>
        <v/>
      </c>
      <c r="F20" s="24">
        <f>IF(E20=0,0,B20/E20)</f>
        <v/>
      </c>
    </row>
    <row r="21">
      <c r="A21" s="22" t="s">
        <v>21</v>
      </c>
      <c r="B21" s="23">
        <f>SUMIFS(销售明细!$J$2:$J$121,销售明细!$C$2:$C$121,$A21)</f>
        <v/>
      </c>
      <c r="C21" s="24">
        <f>IF($B$24=0,0,B21/$B$24)</f>
        <v/>
      </c>
      <c r="D21" s="25">
        <f>COUNTIF(销售明细!$C$2:$C$121,$A21)</f>
        <v/>
      </c>
      <c r="E21" s="37">
        <f>参数设置!B7</f>
        <v/>
      </c>
      <c r="F21" s="24">
        <f>IF(E21=0,0,B21/E21)</f>
        <v/>
      </c>
    </row>
    <row r="22">
      <c r="A22" s="22" t="s">
        <v>22</v>
      </c>
      <c r="B22" s="23">
        <f>SUMIFS(销售明细!$J$2:$J$121,销售明细!$C$2:$C$121,$A22)</f>
        <v/>
      </c>
      <c r="C22" s="24">
        <f>IF($B$24=0,0,B22/$B$24)</f>
        <v/>
      </c>
      <c r="D22" s="25">
        <f>COUNTIF(销售明细!$C$2:$C$121,$A22)</f>
        <v/>
      </c>
      <c r="E22" s="37">
        <f>参数设置!B8</f>
        <v/>
      </c>
      <c r="F22" s="24">
        <f>IF(E22=0,0,B22/E22)</f>
        <v/>
      </c>
    </row>
    <row r="23">
      <c r="A23" s="22" t="s">
        <v>23</v>
      </c>
      <c r="B23" s="23">
        <f>SUMIFS(销售明细!$J$2:$J$121,销售明细!$C$2:$C$121,$A23)</f>
        <v/>
      </c>
      <c r="C23" s="24">
        <f>IF($B$24=0,0,B23/$B$24)</f>
        <v/>
      </c>
      <c r="D23" s="25">
        <f>COUNTIF(销售明细!$C$2:$C$121,$A23)</f>
        <v/>
      </c>
      <c r="E23" s="37">
        <f>参数设置!B9</f>
        <v/>
      </c>
      <c r="F23" s="24">
        <f>IF(E23=0,0,B23/E23)</f>
        <v/>
      </c>
    </row>
    <row r="24" ht="20" customHeight="1">
      <c r="A24" s="26" t="s">
        <v>12</v>
      </c>
      <c r="B24" s="27">
        <f>SUM(B19:B23)</f>
        <v/>
      </c>
      <c r="C24" s="28">
        <f>IF($B$24=0,0,B24/$B$24)</f>
        <v/>
      </c>
      <c r="D24" s="29">
        <f>SUM(D19:D23)</f>
        <v/>
      </c>
      <c r="E24" s="27">
        <f>SUM(E19:E23)</f>
        <v/>
      </c>
      <c r="F24" s="28">
        <f>IF(E24=0,0,B24/E24)</f>
        <v/>
      </c>
    </row>
    <row r="25" ht="8" customHeight="1"/>
    <row r="26" ht="22" customHeight="1">
      <c r="A26" s="20" t="s">
        <v>24</v>
      </c>
      <c r="B26" s="20"/>
      <c r="C26" s="20"/>
      <c r="D26" s="20"/>
      <c r="E26" s="20"/>
      <c r="F26" s="20"/>
      <c r="G26" s="20"/>
      <c r="H26" s="20"/>
    </row>
    <row r="27" ht="20" customHeight="1">
      <c r="A27" s="21" t="s">
        <v>25</v>
      </c>
      <c r="B27" s="21" t="s">
        <v>8</v>
      </c>
      <c r="C27" s="21" t="s">
        <v>9</v>
      </c>
      <c r="D27" s="21" t="s">
        <v>10</v>
      </c>
      <c r="E27" s="21" t="s">
        <v>15</v>
      </c>
    </row>
    <row r="28">
      <c r="A28" s="22" t="s">
        <v>26</v>
      </c>
      <c r="B28" s="23">
        <f>SUMIFS(销售明细!$J$2:$J$121,销售明细!$E$2:$E$121,$A28)</f>
        <v/>
      </c>
      <c r="C28" s="23">
        <f>SUMIFS(销售明细!$K$2:$K$121,销售明细!$E$2:$E$121,$A28)</f>
        <v/>
      </c>
      <c r="D28" s="24">
        <f>IF(B28=0,0,C28/B28)</f>
        <v/>
      </c>
      <c r="E28" s="24">
        <f>IF($B$33=0,0,B28/$B$33)</f>
        <v/>
      </c>
    </row>
    <row r="29">
      <c r="A29" s="22" t="s">
        <v>27</v>
      </c>
      <c r="B29" s="23">
        <f>SUMIFS(销售明细!$J$2:$J$121,销售明细!$E$2:$E$121,$A29)</f>
        <v/>
      </c>
      <c r="C29" s="23">
        <f>SUMIFS(销售明细!$K$2:$K$121,销售明细!$E$2:$E$121,$A29)</f>
        <v/>
      </c>
      <c r="D29" s="24">
        <f>IF(B29=0,0,C29/B29)</f>
        <v/>
      </c>
      <c r="E29" s="24">
        <f>IF($B$33=0,0,B29/$B$33)</f>
        <v/>
      </c>
    </row>
    <row r="30">
      <c r="A30" s="22" t="s">
        <v>28</v>
      </c>
      <c r="B30" s="23">
        <f>SUMIFS(销售明细!$J$2:$J$121,销售明细!$E$2:$E$121,$A30)</f>
        <v/>
      </c>
      <c r="C30" s="23">
        <f>SUMIFS(销售明细!$K$2:$K$121,销售明细!$E$2:$E$121,$A30)</f>
        <v/>
      </c>
      <c r="D30" s="24">
        <f>IF(B30=0,0,C30/B30)</f>
        <v/>
      </c>
      <c r="E30" s="24">
        <f>IF($B$33=0,0,B30/$B$33)</f>
        <v/>
      </c>
    </row>
    <row r="31">
      <c r="A31" s="22" t="s">
        <v>29</v>
      </c>
      <c r="B31" s="23">
        <f>SUMIFS(销售明细!$J$2:$J$121,销售明细!$E$2:$E$121,$A31)</f>
        <v/>
      </c>
      <c r="C31" s="23">
        <f>SUMIFS(销售明细!$K$2:$K$121,销售明细!$E$2:$E$121,$A31)</f>
        <v/>
      </c>
      <c r="D31" s="24">
        <f>IF(B31=0,0,C31/B31)</f>
        <v/>
      </c>
      <c r="E31" s="24">
        <f>IF($B$33=0,0,B31/$B$33)</f>
        <v/>
      </c>
    </row>
    <row r="32">
      <c r="A32" s="22" t="s">
        <v>30</v>
      </c>
      <c r="B32" s="23">
        <f>SUMIFS(销售明细!$J$2:$J$121,销售明细!$E$2:$E$121,$A32)</f>
        <v/>
      </c>
      <c r="C32" s="23">
        <f>SUMIFS(销售明细!$K$2:$K$121,销售明细!$E$2:$E$121,$A32)</f>
        <v/>
      </c>
      <c r="D32" s="24">
        <f>IF(B32=0,0,C32/B32)</f>
        <v/>
      </c>
      <c r="E32" s="24">
        <f>IF($B$33=0,0,B32/$B$33)</f>
        <v/>
      </c>
    </row>
    <row r="33" ht="20" customHeight="1">
      <c r="A33" s="26" t="s">
        <v>12</v>
      </c>
      <c r="B33" s="27">
        <f>SUM(B28:B32)</f>
        <v/>
      </c>
      <c r="C33" s="27">
        <f>SUM(C28:C32)</f>
        <v/>
      </c>
      <c r="D33" s="28">
        <f>IF(B33=0,0,C33/B33)</f>
        <v/>
      </c>
      <c r="E33" s="28">
        <f>SUM(E28:E32)</f>
        <v/>
      </c>
    </row>
    <row r="34" ht="8" customHeight="1"/>
    <row r="35" ht="22" customHeight="1">
      <c r="A35" s="20" t="s">
        <v>31</v>
      </c>
      <c r="B35" s="20"/>
      <c r="C35" s="20"/>
      <c r="D35" s="20"/>
      <c r="E35" s="20"/>
      <c r="F35" s="20"/>
      <c r="G35" s="20"/>
      <c r="H35" s="20"/>
    </row>
    <row r="36" ht="20" customHeight="1">
      <c r="A36" s="21" t="s">
        <v>32</v>
      </c>
      <c r="B36" s="21" t="s">
        <v>33</v>
      </c>
      <c r="C36" s="21" t="s">
        <v>8</v>
      </c>
      <c r="D36" s="21" t="s">
        <v>9</v>
      </c>
      <c r="E36" s="21" t="s">
        <v>10</v>
      </c>
    </row>
    <row r="37">
      <c r="A37" s="22" t="s">
        <v>34</v>
      </c>
      <c r="B37" s="22" t="s">
        <v>19</v>
      </c>
      <c r="C37" s="23">
        <f>SUMIFS(销售明细!$J$2:$J$121,销售明细!$D$2:$D$121,$A37)</f>
        <v/>
      </c>
      <c r="D37" s="23">
        <f>SUMIFS(销售明细!$K$2:$K$121,销售明细!$D$2:$D$121,$A37)</f>
        <v/>
      </c>
      <c r="E37" s="24">
        <f>IF(C37=0,0,D37/C37)</f>
        <v/>
      </c>
    </row>
    <row r="38">
      <c r="A38" s="22" t="s">
        <v>35</v>
      </c>
      <c r="B38" s="22" t="s">
        <v>19</v>
      </c>
      <c r="C38" s="23">
        <f>SUMIFS(销售明细!$J$2:$J$121,销售明细!$D$2:$D$121,$A38)</f>
        <v/>
      </c>
      <c r="D38" s="23">
        <f>SUMIFS(销售明细!$K$2:$K$121,销售明细!$D$2:$D$121,$A38)</f>
        <v/>
      </c>
      <c r="E38" s="24">
        <f>IF(C38=0,0,D38/C38)</f>
        <v/>
      </c>
    </row>
    <row r="39">
      <c r="A39" s="22" t="s">
        <v>36</v>
      </c>
      <c r="B39" s="22" t="s">
        <v>20</v>
      </c>
      <c r="C39" s="23">
        <f>SUMIFS(销售明细!$J$2:$J$121,销售明细!$D$2:$D$121,$A39)</f>
        <v/>
      </c>
      <c r="D39" s="23">
        <f>SUMIFS(销售明细!$K$2:$K$121,销售明细!$D$2:$D$121,$A39)</f>
        <v/>
      </c>
      <c r="E39" s="24">
        <f>IF(C39=0,0,D39/C39)</f>
        <v/>
      </c>
    </row>
    <row r="40">
      <c r="A40" s="22" t="s">
        <v>37</v>
      </c>
      <c r="B40" s="22" t="s">
        <v>20</v>
      </c>
      <c r="C40" s="23">
        <f>SUMIFS(销售明细!$J$2:$J$121,销售明细!$D$2:$D$121,$A40)</f>
        <v/>
      </c>
      <c r="D40" s="23">
        <f>SUMIFS(销售明细!$K$2:$K$121,销售明细!$D$2:$D$121,$A40)</f>
        <v/>
      </c>
      <c r="E40" s="24">
        <f>IF(C40=0,0,D40/C40)</f>
        <v/>
      </c>
    </row>
    <row r="41">
      <c r="A41" s="22" t="s">
        <v>38</v>
      </c>
      <c r="B41" s="22" t="s">
        <v>21</v>
      </c>
      <c r="C41" s="23">
        <f>SUMIFS(销售明细!$J$2:$J$121,销售明细!$D$2:$D$121,$A41)</f>
        <v/>
      </c>
      <c r="D41" s="23">
        <f>SUMIFS(销售明细!$K$2:$K$121,销售明细!$D$2:$D$121,$A41)</f>
        <v/>
      </c>
      <c r="E41" s="24">
        <f>IF(C41=0,0,D41/C41)</f>
        <v/>
      </c>
    </row>
    <row r="42">
      <c r="A42" s="22" t="s">
        <v>39</v>
      </c>
      <c r="B42" s="22" t="s">
        <v>21</v>
      </c>
      <c r="C42" s="23">
        <f>SUMIFS(销售明细!$J$2:$J$121,销售明细!$D$2:$D$121,$A42)</f>
        <v/>
      </c>
      <c r="D42" s="23">
        <f>SUMIFS(销售明细!$K$2:$K$121,销售明细!$D$2:$D$121,$A42)</f>
        <v/>
      </c>
      <c r="E42" s="24">
        <f>IF(C42=0,0,D42/C42)</f>
        <v/>
      </c>
    </row>
    <row r="43">
      <c r="A43" s="22" t="s">
        <v>40</v>
      </c>
      <c r="B43" s="22" t="s">
        <v>22</v>
      </c>
      <c r="C43" s="23">
        <f>SUMIFS(销售明细!$J$2:$J$121,销售明细!$D$2:$D$121,$A43)</f>
        <v/>
      </c>
      <c r="D43" s="23">
        <f>SUMIFS(销售明细!$K$2:$K$121,销售明细!$D$2:$D$121,$A43)</f>
        <v/>
      </c>
      <c r="E43" s="24">
        <f>IF(C43=0,0,D43/C43)</f>
        <v/>
      </c>
    </row>
    <row r="44">
      <c r="A44" s="22" t="s">
        <v>41</v>
      </c>
      <c r="B44" s="22" t="s">
        <v>23</v>
      </c>
      <c r="C44" s="23">
        <f>SUMIFS(销售明细!$J$2:$J$121,销售明细!$D$2:$D$121,$A44)</f>
        <v/>
      </c>
      <c r="D44" s="23">
        <f>SUMIFS(销售明细!$K$2:$K$121,销售明细!$D$2:$D$121,$A44)</f>
        <v/>
      </c>
      <c r="E44" s="24">
        <f>IF(C44=0,0,D44/C44)</f>
        <v/>
      </c>
    </row>
    <row r="45" ht="20" customHeight="1">
      <c r="A45" s="26" t="s">
        <v>12</v>
      </c>
      <c r="B45" s="26"/>
      <c r="C45" s="27">
        <f>SUM(C37:C44)</f>
        <v/>
      </c>
      <c r="D45" s="27">
        <f>SUM(D37:D44)</f>
        <v/>
      </c>
      <c r="E45" s="28">
        <f>IF(C45=0,0,D45/C45)</f>
        <v/>
      </c>
    </row>
  </sheetData>
  <mergeCells count="14">
    <mergeCell ref="A1:H1"/>
    <mergeCell ref="A2:H2"/>
    <mergeCell ref="A4:B4"/>
    <mergeCell ref="C4:D4"/>
    <mergeCell ref="E4:F4"/>
    <mergeCell ref="G4:H4"/>
    <mergeCell ref="A5:B5"/>
    <mergeCell ref="C5:D5"/>
    <mergeCell ref="E5:F5"/>
    <mergeCell ref="G5:H5"/>
    <mergeCell ref="A7:H7"/>
    <mergeCell ref="A17:H17"/>
    <mergeCell ref="A26:H26"/>
    <mergeCell ref="A35:H35"/>
  </mergeCells>
  <conditionalFormatting sqref="B9:B14">
    <cfRule type="dataBar" priority="1">
      <dataBar>
        <cfvo type="min"/>
        <cfvo type="max"/>
        <color rgb="FF185FA5"/>
      </dataBar>
    </cfRule>
  </conditionalFormatting>
  <conditionalFormatting sqref="B19:B23">
    <cfRule type="dataBar" priority="2">
      <dataBar>
        <cfvo type="min"/>
        <cfvo type="max"/>
        <color rgb="FF185FA5"/>
      </dataBar>
    </cfRule>
  </conditionalFormatting>
  <conditionalFormatting sqref="B28:B32">
    <cfRule type="dataBar" priority="3">
      <dataBar>
        <cfvo type="min"/>
        <cfvo type="max"/>
        <color rgb="FF185FA5"/>
      </dataBar>
    </cfRule>
  </conditionalFormatting>
  <conditionalFormatting sqref="C37:C44">
    <cfRule type="dataBar" priority="4">
      <dataBar>
        <cfvo type="min"/>
        <cfvo type="max"/>
        <color rgb="FF185FA5"/>
      </dataBar>
    </cfRule>
  </conditionalFormatting>
  <conditionalFormatting sqref="F19:F23">
    <cfRule type="dataBar" priority="5">
      <dataBar>
        <cfvo type="min"/>
        <cfvo type="max"/>
        <color rgb="FFBA7517"/>
      </dataBar>
    </cfRule>
  </conditionalFormatting>
  <pageMargins left="0.5" right="0.5" top="0.6" bottom="0.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0F6E56"/>
  </sheetPr>
  <dimension ref="A1:M121"/>
  <sheetViews>
    <sheetView tabSelected="0" workbookViewId="0">
      <pane ySplit="1" topLeftCell="A2" activePane="bottomLeft" state="frozen"/>
      <selection pane="bottomLeft" activeCell="A2" sqref="A2"/>
    </sheetView>
  </sheetViews>
  <sheetFormatPr xmlns:x14ac="http://schemas.microsoft.com/office/spreadsheetml/2009/9/ac" defaultRowHeight="15" x14ac:dyDescent="0.25"/>
  <cols>
    <col min="1" max="1" width="12" customWidth="1"/>
    <col min="2" max="2" width="14" customWidth="1"/>
    <col min="3" max="3" width="10" customWidth="1"/>
    <col min="4" max="4" width="10" customWidth="1"/>
    <col min="5" max="5" width="12" customWidth="1"/>
    <col min="6" max="6" width="22" customWidth="1"/>
    <col min="7" max="7" width="8" customWidth="1"/>
    <col min="8" max="8" width="10" customWidth="1"/>
    <col min="9" max="9" width="10" customWidth="1"/>
    <col min="10" max="10" width="12" customWidth="1"/>
    <col min="11" max="11" width="12" customWidth="1"/>
    <col min="12" max="12" width="9" customWidth="1"/>
    <col min="13" max="13" width="8" customWidth="1"/>
  </cols>
  <sheetData>
    <row r="1" ht="20" customHeight="1">
      <c r="A1" s="21" t="s">
        <v>42</v>
      </c>
      <c r="B1" s="21" t="s">
        <v>43</v>
      </c>
      <c r="C1" s="21" t="s">
        <v>14</v>
      </c>
      <c r="D1" s="21" t="s">
        <v>32</v>
      </c>
      <c r="E1" s="21" t="s">
        <v>25</v>
      </c>
      <c r="F1" s="21" t="s">
        <v>44</v>
      </c>
      <c r="G1" s="21" t="s">
        <v>45</v>
      </c>
      <c r="H1" s="21" t="s">
        <v>46</v>
      </c>
      <c r="I1" s="21" t="s">
        <v>47</v>
      </c>
      <c r="J1" s="21" t="s">
        <v>8</v>
      </c>
      <c r="K1" s="21" t="s">
        <v>9</v>
      </c>
      <c r="L1" s="21" t="s">
        <v>10</v>
      </c>
      <c r="M1" s="21" t="s">
        <v>7</v>
      </c>
    </row>
    <row r="2">
      <c r="A2" s="34">
        <v>46023</v>
      </c>
      <c r="B2" s="22" t="s">
        <v>48</v>
      </c>
      <c r="C2" s="22" t="s">
        <v>19</v>
      </c>
      <c r="D2" s="22" t="s">
        <v>35</v>
      </c>
      <c r="E2" s="22" t="s">
        <v>30</v>
      </c>
      <c r="F2" s="22" t="s">
        <v>49</v>
      </c>
      <c r="G2" s="32">
        <v>7</v>
      </c>
      <c r="H2" s="33">
        <v>128</v>
      </c>
      <c r="I2" s="33">
        <v>88</v>
      </c>
      <c r="J2" s="23">
        <f>G2*H2</f>
        <v/>
      </c>
      <c r="K2" s="23">
        <f>J2-G2*I2</f>
        <v/>
      </c>
      <c r="L2" s="24">
        <f>IF(J2=0,0,K2/J2)</f>
        <v/>
      </c>
      <c r="M2" s="32">
        <f>MONTH(A2)</f>
        <v/>
      </c>
    </row>
    <row r="3">
      <c r="A3" s="34">
        <v>46025</v>
      </c>
      <c r="B3" s="22" t="s">
        <v>50</v>
      </c>
      <c r="C3" s="22" t="s">
        <v>21</v>
      </c>
      <c r="D3" s="22" t="s">
        <v>38</v>
      </c>
      <c r="E3" s="22" t="s">
        <v>29</v>
      </c>
      <c r="F3" s="22" t="s">
        <v>51</v>
      </c>
      <c r="G3" s="32">
        <v>6</v>
      </c>
      <c r="H3" s="33">
        <v>699</v>
      </c>
      <c r="I3" s="33">
        <v>512</v>
      </c>
      <c r="J3" s="23">
        <f>G3*H3</f>
        <v/>
      </c>
      <c r="K3" s="23">
        <f>J3-G3*I3</f>
        <v/>
      </c>
      <c r="L3" s="24">
        <f>IF(J3=0,0,K3/J3)</f>
        <v/>
      </c>
      <c r="M3" s="32">
        <f>MONTH(A3)</f>
        <v/>
      </c>
    </row>
    <row r="4">
      <c r="A4" s="34">
        <v>46026</v>
      </c>
      <c r="B4" s="22" t="s">
        <v>52</v>
      </c>
      <c r="C4" s="22" t="s">
        <v>20</v>
      </c>
      <c r="D4" s="22" t="s">
        <v>36</v>
      </c>
      <c r="E4" s="22" t="s">
        <v>27</v>
      </c>
      <c r="F4" s="22" t="s">
        <v>53</v>
      </c>
      <c r="G4" s="32">
        <v>1</v>
      </c>
      <c r="H4" s="33">
        <v>1299</v>
      </c>
      <c r="I4" s="33">
        <v>968</v>
      </c>
      <c r="J4" s="23">
        <f>G4*H4</f>
        <v/>
      </c>
      <c r="K4" s="23">
        <f>J4-G4*I4</f>
        <v/>
      </c>
      <c r="L4" s="24">
        <f>IF(J4=0,0,K4/J4)</f>
        <v/>
      </c>
      <c r="M4" s="32">
        <f>MONTH(A4)</f>
        <v/>
      </c>
    </row>
    <row r="5">
      <c r="A5" s="34">
        <v>46026</v>
      </c>
      <c r="B5" s="22" t="s">
        <v>54</v>
      </c>
      <c r="C5" s="22" t="s">
        <v>19</v>
      </c>
      <c r="D5" s="22" t="s">
        <v>34</v>
      </c>
      <c r="E5" s="22" t="s">
        <v>28</v>
      </c>
      <c r="F5" s="22" t="s">
        <v>55</v>
      </c>
      <c r="G5" s="32">
        <v>4</v>
      </c>
      <c r="H5" s="33">
        <v>149</v>
      </c>
      <c r="I5" s="33">
        <v>92</v>
      </c>
      <c r="J5" s="23">
        <f>G5*H5</f>
        <v/>
      </c>
      <c r="K5" s="23">
        <f>J5-G5*I5</f>
        <v/>
      </c>
      <c r="L5" s="24">
        <f>IF(J5=0,0,K5/J5)</f>
        <v/>
      </c>
      <c r="M5" s="32">
        <f>MONTH(A5)</f>
        <v/>
      </c>
    </row>
    <row r="6">
      <c r="A6" s="34">
        <v>46031</v>
      </c>
      <c r="B6" s="22" t="s">
        <v>56</v>
      </c>
      <c r="C6" s="22" t="s">
        <v>22</v>
      </c>
      <c r="D6" s="22" t="s">
        <v>40</v>
      </c>
      <c r="E6" s="22" t="s">
        <v>30</v>
      </c>
      <c r="F6" s="22" t="s">
        <v>57</v>
      </c>
      <c r="G6" s="32">
        <v>17</v>
      </c>
      <c r="H6" s="33">
        <v>259</v>
      </c>
      <c r="I6" s="33">
        <v>178</v>
      </c>
      <c r="J6" s="23">
        <f>G6*H6</f>
        <v/>
      </c>
      <c r="K6" s="23">
        <f>J6-G6*I6</f>
        <v/>
      </c>
      <c r="L6" s="24">
        <f>IF(J6=0,0,K6/J6)</f>
        <v/>
      </c>
      <c r="M6" s="32">
        <f>MONTH(A6)</f>
        <v/>
      </c>
    </row>
    <row r="7">
      <c r="A7" s="34">
        <v>46031</v>
      </c>
      <c r="B7" s="22" t="s">
        <v>58</v>
      </c>
      <c r="C7" s="22" t="s">
        <v>21</v>
      </c>
      <c r="D7" s="22" t="s">
        <v>39</v>
      </c>
      <c r="E7" s="22" t="s">
        <v>30</v>
      </c>
      <c r="F7" s="22" t="s">
        <v>49</v>
      </c>
      <c r="G7" s="32">
        <v>10</v>
      </c>
      <c r="H7" s="33">
        <v>128</v>
      </c>
      <c r="I7" s="33">
        <v>88</v>
      </c>
      <c r="J7" s="23">
        <f>G7*H7</f>
        <v/>
      </c>
      <c r="K7" s="23">
        <f>J7-G7*I7</f>
        <v/>
      </c>
      <c r="L7" s="24">
        <f>IF(J7=0,0,K7/J7)</f>
        <v/>
      </c>
      <c r="M7" s="32">
        <f>MONTH(A7)</f>
        <v/>
      </c>
    </row>
    <row r="8">
      <c r="A8" s="34">
        <v>46031</v>
      </c>
      <c r="B8" s="22" t="s">
        <v>59</v>
      </c>
      <c r="C8" s="22" t="s">
        <v>20</v>
      </c>
      <c r="D8" s="22" t="s">
        <v>37</v>
      </c>
      <c r="E8" s="22" t="s">
        <v>27</v>
      </c>
      <c r="F8" s="22" t="s">
        <v>53</v>
      </c>
      <c r="G8" s="32">
        <v>1</v>
      </c>
      <c r="H8" s="33">
        <v>1299</v>
      </c>
      <c r="I8" s="33">
        <v>968</v>
      </c>
      <c r="J8" s="23">
        <f>G8*H8</f>
        <v/>
      </c>
      <c r="K8" s="23">
        <f>J8-G8*I8</f>
        <v/>
      </c>
      <c r="L8" s="24">
        <f>IF(J8=0,0,K8/J8)</f>
        <v/>
      </c>
      <c r="M8" s="32">
        <f>MONTH(A8)</f>
        <v/>
      </c>
    </row>
    <row r="9">
      <c r="A9" s="34">
        <v>46032</v>
      </c>
      <c r="B9" s="22" t="s">
        <v>60</v>
      </c>
      <c r="C9" s="22" t="s">
        <v>19</v>
      </c>
      <c r="D9" s="22" t="s">
        <v>34</v>
      </c>
      <c r="E9" s="22" t="s">
        <v>26</v>
      </c>
      <c r="F9" s="22" t="s">
        <v>61</v>
      </c>
      <c r="G9" s="32">
        <v>3</v>
      </c>
      <c r="H9" s="33">
        <v>5299</v>
      </c>
      <c r="I9" s="33">
        <v>4180</v>
      </c>
      <c r="J9" s="23">
        <f>G9*H9</f>
        <v/>
      </c>
      <c r="K9" s="23">
        <f>J9-G9*I9</f>
        <v/>
      </c>
      <c r="L9" s="24">
        <f>IF(J9=0,0,K9/J9)</f>
        <v/>
      </c>
      <c r="M9" s="32">
        <f>MONTH(A9)</f>
        <v/>
      </c>
    </row>
    <row r="10">
      <c r="A10" s="34">
        <v>46033</v>
      </c>
      <c r="B10" s="22" t="s">
        <v>62</v>
      </c>
      <c r="C10" s="22" t="s">
        <v>20</v>
      </c>
      <c r="D10" s="22" t="s">
        <v>36</v>
      </c>
      <c r="E10" s="22" t="s">
        <v>29</v>
      </c>
      <c r="F10" s="22" t="s">
        <v>51</v>
      </c>
      <c r="G10" s="32">
        <v>5</v>
      </c>
      <c r="H10" s="33">
        <v>699</v>
      </c>
      <c r="I10" s="33">
        <v>512</v>
      </c>
      <c r="J10" s="23">
        <f>G10*H10</f>
        <v/>
      </c>
      <c r="K10" s="23">
        <f>J10-G10*I10</f>
        <v/>
      </c>
      <c r="L10" s="24">
        <f>IF(J10=0,0,K10/J10)</f>
        <v/>
      </c>
      <c r="M10" s="32">
        <f>MONTH(A10)</f>
        <v/>
      </c>
    </row>
    <row r="11">
      <c r="A11" s="34">
        <v>46034</v>
      </c>
      <c r="B11" s="22" t="s">
        <v>63</v>
      </c>
      <c r="C11" s="22" t="s">
        <v>20</v>
      </c>
      <c r="D11" s="22" t="s">
        <v>37</v>
      </c>
      <c r="E11" s="22" t="s">
        <v>30</v>
      </c>
      <c r="F11" s="22" t="s">
        <v>57</v>
      </c>
      <c r="G11" s="32">
        <v>7</v>
      </c>
      <c r="H11" s="33">
        <v>259</v>
      </c>
      <c r="I11" s="33">
        <v>178</v>
      </c>
      <c r="J11" s="23">
        <f>G11*H11</f>
        <v/>
      </c>
      <c r="K11" s="23">
        <f>J11-G11*I11</f>
        <v/>
      </c>
      <c r="L11" s="24">
        <f>IF(J11=0,0,K11/J11)</f>
        <v/>
      </c>
      <c r="M11" s="32">
        <f>MONTH(A11)</f>
        <v/>
      </c>
    </row>
    <row r="12">
      <c r="A12" s="34">
        <v>46035</v>
      </c>
      <c r="B12" s="22" t="s">
        <v>64</v>
      </c>
      <c r="C12" s="22" t="s">
        <v>21</v>
      </c>
      <c r="D12" s="22" t="s">
        <v>39</v>
      </c>
      <c r="E12" s="22" t="s">
        <v>27</v>
      </c>
      <c r="F12" s="22" t="s">
        <v>53</v>
      </c>
      <c r="G12" s="32">
        <v>1</v>
      </c>
      <c r="H12" s="33">
        <v>1299</v>
      </c>
      <c r="I12" s="33">
        <v>968</v>
      </c>
      <c r="J12" s="23">
        <f>G12*H12</f>
        <v/>
      </c>
      <c r="K12" s="23">
        <f>J12-G12*I12</f>
        <v/>
      </c>
      <c r="L12" s="24">
        <f>IF(J12=0,0,K12/J12)</f>
        <v/>
      </c>
      <c r="M12" s="32">
        <f>MONTH(A12)</f>
        <v/>
      </c>
    </row>
    <row r="13">
      <c r="A13" s="34">
        <v>46037</v>
      </c>
      <c r="B13" s="22" t="s">
        <v>65</v>
      </c>
      <c r="C13" s="22" t="s">
        <v>22</v>
      </c>
      <c r="D13" s="22" t="s">
        <v>40</v>
      </c>
      <c r="E13" s="22" t="s">
        <v>27</v>
      </c>
      <c r="F13" s="22" t="s">
        <v>66</v>
      </c>
      <c r="G13" s="32">
        <v>4</v>
      </c>
      <c r="H13" s="33">
        <v>2499</v>
      </c>
      <c r="I13" s="33">
        <v>1890</v>
      </c>
      <c r="J13" s="23">
        <f>G13*H13</f>
        <v/>
      </c>
      <c r="K13" s="23">
        <f>J13-G13*I13</f>
        <v/>
      </c>
      <c r="L13" s="24">
        <f>IF(J13=0,0,K13/J13)</f>
        <v/>
      </c>
      <c r="M13" s="32">
        <f>MONTH(A13)</f>
        <v/>
      </c>
    </row>
    <row r="14">
      <c r="A14" s="34">
        <v>46041</v>
      </c>
      <c r="B14" s="22" t="s">
        <v>67</v>
      </c>
      <c r="C14" s="22" t="s">
        <v>19</v>
      </c>
      <c r="D14" s="22" t="s">
        <v>34</v>
      </c>
      <c r="E14" s="22" t="s">
        <v>28</v>
      </c>
      <c r="F14" s="22" t="s">
        <v>68</v>
      </c>
      <c r="G14" s="32">
        <v>8</v>
      </c>
      <c r="H14" s="33">
        <v>399</v>
      </c>
      <c r="I14" s="33">
        <v>262</v>
      </c>
      <c r="J14" s="23">
        <f>G14*H14</f>
        <v/>
      </c>
      <c r="K14" s="23">
        <f>J14-G14*I14</f>
        <v/>
      </c>
      <c r="L14" s="24">
        <f>IF(J14=0,0,K14/J14)</f>
        <v/>
      </c>
      <c r="M14" s="32">
        <f>MONTH(A14)</f>
        <v/>
      </c>
    </row>
    <row r="15">
      <c r="A15" s="34">
        <v>46041</v>
      </c>
      <c r="B15" s="22" t="s">
        <v>69</v>
      </c>
      <c r="C15" s="22" t="s">
        <v>19</v>
      </c>
      <c r="D15" s="22" t="s">
        <v>35</v>
      </c>
      <c r="E15" s="22" t="s">
        <v>29</v>
      </c>
      <c r="F15" s="22" t="s">
        <v>70</v>
      </c>
      <c r="G15" s="32">
        <v>5</v>
      </c>
      <c r="H15" s="33">
        <v>89</v>
      </c>
      <c r="I15" s="33">
        <v>56</v>
      </c>
      <c r="J15" s="23">
        <f>G15*H15</f>
        <v/>
      </c>
      <c r="K15" s="23">
        <f>J15-G15*I15</f>
        <v/>
      </c>
      <c r="L15" s="24">
        <f>IF(J15=0,0,K15/J15)</f>
        <v/>
      </c>
      <c r="M15" s="32">
        <f>MONTH(A15)</f>
        <v/>
      </c>
    </row>
    <row r="16">
      <c r="A16" s="34">
        <v>46043</v>
      </c>
      <c r="B16" s="22" t="s">
        <v>71</v>
      </c>
      <c r="C16" s="22" t="s">
        <v>21</v>
      </c>
      <c r="D16" s="22" t="s">
        <v>38</v>
      </c>
      <c r="E16" s="22" t="s">
        <v>29</v>
      </c>
      <c r="F16" s="22" t="s">
        <v>51</v>
      </c>
      <c r="G16" s="32">
        <v>4</v>
      </c>
      <c r="H16" s="33">
        <v>699</v>
      </c>
      <c r="I16" s="33">
        <v>512</v>
      </c>
      <c r="J16" s="23">
        <f>G16*H16</f>
        <v/>
      </c>
      <c r="K16" s="23">
        <f>J16-G16*I16</f>
        <v/>
      </c>
      <c r="L16" s="24">
        <f>IF(J16=0,0,K16/J16)</f>
        <v/>
      </c>
      <c r="M16" s="32">
        <f>MONTH(A16)</f>
        <v/>
      </c>
    </row>
    <row r="17">
      <c r="A17" s="34">
        <v>46046</v>
      </c>
      <c r="B17" s="22" t="s">
        <v>72</v>
      </c>
      <c r="C17" s="22" t="s">
        <v>20</v>
      </c>
      <c r="D17" s="22" t="s">
        <v>36</v>
      </c>
      <c r="E17" s="22" t="s">
        <v>26</v>
      </c>
      <c r="F17" s="22" t="s">
        <v>73</v>
      </c>
      <c r="G17" s="32">
        <v>2</v>
      </c>
      <c r="H17" s="33">
        <v>6999</v>
      </c>
      <c r="I17" s="33">
        <v>5520</v>
      </c>
      <c r="J17" s="23">
        <f>G17*H17</f>
        <v/>
      </c>
      <c r="K17" s="23">
        <f>J17-G17*I17</f>
        <v/>
      </c>
      <c r="L17" s="24">
        <f>IF(J17=0,0,K17/J17)</f>
        <v/>
      </c>
      <c r="M17" s="32">
        <f>MONTH(A17)</f>
        <v/>
      </c>
    </row>
    <row r="18">
      <c r="A18" s="34">
        <v>46048</v>
      </c>
      <c r="B18" s="22" t="s">
        <v>74</v>
      </c>
      <c r="C18" s="22" t="s">
        <v>22</v>
      </c>
      <c r="D18" s="22" t="s">
        <v>40</v>
      </c>
      <c r="E18" s="22" t="s">
        <v>26</v>
      </c>
      <c r="F18" s="22" t="s">
        <v>73</v>
      </c>
      <c r="G18" s="32">
        <v>3</v>
      </c>
      <c r="H18" s="33">
        <v>6999</v>
      </c>
      <c r="I18" s="33">
        <v>5520</v>
      </c>
      <c r="J18" s="23">
        <f>G18*H18</f>
        <v/>
      </c>
      <c r="K18" s="23">
        <f>J18-G18*I18</f>
        <v/>
      </c>
      <c r="L18" s="24">
        <f>IF(J18=0,0,K18/J18)</f>
        <v/>
      </c>
      <c r="M18" s="32">
        <f>MONTH(A18)</f>
        <v/>
      </c>
    </row>
    <row r="19">
      <c r="A19" s="34">
        <v>46050</v>
      </c>
      <c r="B19" s="22" t="s">
        <v>75</v>
      </c>
      <c r="C19" s="22" t="s">
        <v>20</v>
      </c>
      <c r="D19" s="22" t="s">
        <v>37</v>
      </c>
      <c r="E19" s="22" t="s">
        <v>29</v>
      </c>
      <c r="F19" s="22" t="s">
        <v>70</v>
      </c>
      <c r="G19" s="32">
        <v>7</v>
      </c>
      <c r="H19" s="33">
        <v>89</v>
      </c>
      <c r="I19" s="33">
        <v>56</v>
      </c>
      <c r="J19" s="23">
        <f>G19*H19</f>
        <v/>
      </c>
      <c r="K19" s="23">
        <f>J19-G19*I19</f>
        <v/>
      </c>
      <c r="L19" s="24">
        <f>IF(J19=0,0,K19/J19)</f>
        <v/>
      </c>
      <c r="M19" s="32">
        <f>MONTH(A19)</f>
        <v/>
      </c>
    </row>
    <row r="20">
      <c r="A20" s="34">
        <v>46050</v>
      </c>
      <c r="B20" s="22" t="s">
        <v>76</v>
      </c>
      <c r="C20" s="22" t="s">
        <v>19</v>
      </c>
      <c r="D20" s="22" t="s">
        <v>34</v>
      </c>
      <c r="E20" s="22" t="s">
        <v>28</v>
      </c>
      <c r="F20" s="22" t="s">
        <v>68</v>
      </c>
      <c r="G20" s="32">
        <v>7</v>
      </c>
      <c r="H20" s="33">
        <v>399</v>
      </c>
      <c r="I20" s="33">
        <v>262</v>
      </c>
      <c r="J20" s="23">
        <f>G20*H20</f>
        <v/>
      </c>
      <c r="K20" s="23">
        <f>J20-G20*I20</f>
        <v/>
      </c>
      <c r="L20" s="24">
        <f>IF(J20=0,0,K20/J20)</f>
        <v/>
      </c>
      <c r="M20" s="32">
        <f>MONTH(A20)</f>
        <v/>
      </c>
    </row>
    <row r="21">
      <c r="A21" s="34">
        <v>46050</v>
      </c>
      <c r="B21" s="22" t="s">
        <v>77</v>
      </c>
      <c r="C21" s="22" t="s">
        <v>19</v>
      </c>
      <c r="D21" s="22" t="s">
        <v>34</v>
      </c>
      <c r="E21" s="22" t="s">
        <v>26</v>
      </c>
      <c r="F21" s="22" t="s">
        <v>61</v>
      </c>
      <c r="G21" s="32">
        <v>2</v>
      </c>
      <c r="H21" s="33">
        <v>5299</v>
      </c>
      <c r="I21" s="33">
        <v>4180</v>
      </c>
      <c r="J21" s="23">
        <f>G21*H21</f>
        <v/>
      </c>
      <c r="K21" s="23">
        <f>J21-G21*I21</f>
        <v/>
      </c>
      <c r="L21" s="24">
        <f>IF(J21=0,0,K21/J21)</f>
        <v/>
      </c>
      <c r="M21" s="32">
        <f>MONTH(A21)</f>
        <v/>
      </c>
    </row>
    <row r="22">
      <c r="A22" s="34">
        <v>46051</v>
      </c>
      <c r="B22" s="22" t="s">
        <v>78</v>
      </c>
      <c r="C22" s="22" t="s">
        <v>19</v>
      </c>
      <c r="D22" s="22" t="s">
        <v>35</v>
      </c>
      <c r="E22" s="22" t="s">
        <v>29</v>
      </c>
      <c r="F22" s="22" t="s">
        <v>70</v>
      </c>
      <c r="G22" s="32">
        <v>6</v>
      </c>
      <c r="H22" s="33">
        <v>89</v>
      </c>
      <c r="I22" s="33">
        <v>56</v>
      </c>
      <c r="J22" s="23">
        <f>G22*H22</f>
        <v/>
      </c>
      <c r="K22" s="23">
        <f>J22-G22*I22</f>
        <v/>
      </c>
      <c r="L22" s="24">
        <f>IF(J22=0,0,K22/J22)</f>
        <v/>
      </c>
      <c r="M22" s="32">
        <f>MONTH(A22)</f>
        <v/>
      </c>
    </row>
    <row r="23">
      <c r="A23" s="34">
        <v>46052</v>
      </c>
      <c r="B23" s="22" t="s">
        <v>79</v>
      </c>
      <c r="C23" s="22" t="s">
        <v>21</v>
      </c>
      <c r="D23" s="22" t="s">
        <v>39</v>
      </c>
      <c r="E23" s="22" t="s">
        <v>27</v>
      </c>
      <c r="F23" s="22" t="s">
        <v>53</v>
      </c>
      <c r="G23" s="32">
        <v>4</v>
      </c>
      <c r="H23" s="33">
        <v>1299</v>
      </c>
      <c r="I23" s="33">
        <v>968</v>
      </c>
      <c r="J23" s="23">
        <f>G23*H23</f>
        <v/>
      </c>
      <c r="K23" s="23">
        <f>J23-G23*I23</f>
        <v/>
      </c>
      <c r="L23" s="24">
        <f>IF(J23=0,0,K23/J23)</f>
        <v/>
      </c>
      <c r="M23" s="32">
        <f>MONTH(A23)</f>
        <v/>
      </c>
    </row>
    <row r="24">
      <c r="A24" s="34">
        <v>46053</v>
      </c>
      <c r="B24" s="22" t="s">
        <v>80</v>
      </c>
      <c r="C24" s="22" t="s">
        <v>20</v>
      </c>
      <c r="D24" s="22" t="s">
        <v>36</v>
      </c>
      <c r="E24" s="22" t="s">
        <v>27</v>
      </c>
      <c r="F24" s="22" t="s">
        <v>53</v>
      </c>
      <c r="G24" s="32">
        <v>1</v>
      </c>
      <c r="H24" s="33">
        <v>1299</v>
      </c>
      <c r="I24" s="33">
        <v>968</v>
      </c>
      <c r="J24" s="23">
        <f>G24*H24</f>
        <v/>
      </c>
      <c r="K24" s="23">
        <f>J24-G24*I24</f>
        <v/>
      </c>
      <c r="L24" s="24">
        <f>IF(J24=0,0,K24/J24)</f>
        <v/>
      </c>
      <c r="M24" s="32">
        <f>MONTH(A24)</f>
        <v/>
      </c>
    </row>
    <row r="25">
      <c r="A25" s="34">
        <v>46054</v>
      </c>
      <c r="B25" s="22" t="s">
        <v>81</v>
      </c>
      <c r="C25" s="22" t="s">
        <v>19</v>
      </c>
      <c r="D25" s="22" t="s">
        <v>35</v>
      </c>
      <c r="E25" s="22" t="s">
        <v>29</v>
      </c>
      <c r="F25" s="22" t="s">
        <v>51</v>
      </c>
      <c r="G25" s="32">
        <v>4</v>
      </c>
      <c r="H25" s="33">
        <v>699</v>
      </c>
      <c r="I25" s="33">
        <v>512</v>
      </c>
      <c r="J25" s="23">
        <f>G25*H25</f>
        <v/>
      </c>
      <c r="K25" s="23">
        <f>J25-G25*I25</f>
        <v/>
      </c>
      <c r="L25" s="24">
        <f>IF(J25=0,0,K25/J25)</f>
        <v/>
      </c>
      <c r="M25" s="32">
        <f>MONTH(A25)</f>
        <v/>
      </c>
    </row>
    <row r="26">
      <c r="A26" s="34">
        <v>46056</v>
      </c>
      <c r="B26" s="22" t="s">
        <v>82</v>
      </c>
      <c r="C26" s="22" t="s">
        <v>19</v>
      </c>
      <c r="D26" s="22" t="s">
        <v>34</v>
      </c>
      <c r="E26" s="22" t="s">
        <v>29</v>
      </c>
      <c r="F26" s="22" t="s">
        <v>70</v>
      </c>
      <c r="G26" s="32">
        <v>4</v>
      </c>
      <c r="H26" s="33">
        <v>89</v>
      </c>
      <c r="I26" s="33">
        <v>56</v>
      </c>
      <c r="J26" s="23">
        <f>G26*H26</f>
        <v/>
      </c>
      <c r="K26" s="23">
        <f>J26-G26*I26</f>
        <v/>
      </c>
      <c r="L26" s="24">
        <f>IF(J26=0,0,K26/J26)</f>
        <v/>
      </c>
      <c r="M26" s="32">
        <f>MONTH(A26)</f>
        <v/>
      </c>
    </row>
    <row r="27">
      <c r="A27" s="34">
        <v>46059</v>
      </c>
      <c r="B27" s="22" t="s">
        <v>83</v>
      </c>
      <c r="C27" s="22" t="s">
        <v>21</v>
      </c>
      <c r="D27" s="22" t="s">
        <v>39</v>
      </c>
      <c r="E27" s="22" t="s">
        <v>28</v>
      </c>
      <c r="F27" s="22" t="s">
        <v>55</v>
      </c>
      <c r="G27" s="32">
        <v>5</v>
      </c>
      <c r="H27" s="33">
        <v>149</v>
      </c>
      <c r="I27" s="33">
        <v>92</v>
      </c>
      <c r="J27" s="23">
        <f>G27*H27</f>
        <v/>
      </c>
      <c r="K27" s="23">
        <f>J27-G27*I27</f>
        <v/>
      </c>
      <c r="L27" s="24">
        <f>IF(J27=0,0,K27/J27)</f>
        <v/>
      </c>
      <c r="M27" s="32">
        <f>MONTH(A27)</f>
        <v/>
      </c>
    </row>
    <row r="28">
      <c r="A28" s="34">
        <v>46059</v>
      </c>
      <c r="B28" s="22" t="s">
        <v>84</v>
      </c>
      <c r="C28" s="22" t="s">
        <v>20</v>
      </c>
      <c r="D28" s="22" t="s">
        <v>36</v>
      </c>
      <c r="E28" s="22" t="s">
        <v>27</v>
      </c>
      <c r="F28" s="22" t="s">
        <v>66</v>
      </c>
      <c r="G28" s="32">
        <v>3</v>
      </c>
      <c r="H28" s="33">
        <v>2499</v>
      </c>
      <c r="I28" s="33">
        <v>1890</v>
      </c>
      <c r="J28" s="23">
        <f>G28*H28</f>
        <v/>
      </c>
      <c r="K28" s="23">
        <f>J28-G28*I28</f>
        <v/>
      </c>
      <c r="L28" s="24">
        <f>IF(J28=0,0,K28/J28)</f>
        <v/>
      </c>
      <c r="M28" s="32">
        <f>MONTH(A28)</f>
        <v/>
      </c>
    </row>
    <row r="29">
      <c r="A29" s="34">
        <v>46061</v>
      </c>
      <c r="B29" s="22" t="s">
        <v>85</v>
      </c>
      <c r="C29" s="22" t="s">
        <v>21</v>
      </c>
      <c r="D29" s="22" t="s">
        <v>38</v>
      </c>
      <c r="E29" s="22" t="s">
        <v>29</v>
      </c>
      <c r="F29" s="22" t="s">
        <v>70</v>
      </c>
      <c r="G29" s="32">
        <v>4</v>
      </c>
      <c r="H29" s="33">
        <v>89</v>
      </c>
      <c r="I29" s="33">
        <v>56</v>
      </c>
      <c r="J29" s="23">
        <f>G29*H29</f>
        <v/>
      </c>
      <c r="K29" s="23">
        <f>J29-G29*I29</f>
        <v/>
      </c>
      <c r="L29" s="24">
        <f>IF(J29=0,0,K29/J29)</f>
        <v/>
      </c>
      <c r="M29" s="32">
        <f>MONTH(A29)</f>
        <v/>
      </c>
    </row>
    <row r="30">
      <c r="A30" s="34">
        <v>46062</v>
      </c>
      <c r="B30" s="22" t="s">
        <v>86</v>
      </c>
      <c r="C30" s="22" t="s">
        <v>19</v>
      </c>
      <c r="D30" s="22" t="s">
        <v>34</v>
      </c>
      <c r="E30" s="22" t="s">
        <v>29</v>
      </c>
      <c r="F30" s="22" t="s">
        <v>70</v>
      </c>
      <c r="G30" s="32">
        <v>7</v>
      </c>
      <c r="H30" s="33">
        <v>89</v>
      </c>
      <c r="I30" s="33">
        <v>56</v>
      </c>
      <c r="J30" s="23">
        <f>G30*H30</f>
        <v/>
      </c>
      <c r="K30" s="23">
        <f>J30-G30*I30</f>
        <v/>
      </c>
      <c r="L30" s="24">
        <f>IF(J30=0,0,K30/J30)</f>
        <v/>
      </c>
      <c r="M30" s="32">
        <f>MONTH(A30)</f>
        <v/>
      </c>
    </row>
    <row r="31">
      <c r="A31" s="34">
        <v>46062</v>
      </c>
      <c r="B31" s="22" t="s">
        <v>87</v>
      </c>
      <c r="C31" s="22" t="s">
        <v>21</v>
      </c>
      <c r="D31" s="22" t="s">
        <v>38</v>
      </c>
      <c r="E31" s="22" t="s">
        <v>26</v>
      </c>
      <c r="F31" s="22" t="s">
        <v>73</v>
      </c>
      <c r="G31" s="32">
        <v>3</v>
      </c>
      <c r="H31" s="33">
        <v>6999</v>
      </c>
      <c r="I31" s="33">
        <v>5520</v>
      </c>
      <c r="J31" s="23">
        <f>G31*H31</f>
        <v/>
      </c>
      <c r="K31" s="23">
        <f>J31-G31*I31</f>
        <v/>
      </c>
      <c r="L31" s="24">
        <f>IF(J31=0,0,K31/J31)</f>
        <v/>
      </c>
      <c r="M31" s="32">
        <f>MONTH(A31)</f>
        <v/>
      </c>
    </row>
    <row r="32">
      <c r="A32" s="34">
        <v>46063</v>
      </c>
      <c r="B32" s="22" t="s">
        <v>88</v>
      </c>
      <c r="C32" s="22" t="s">
        <v>21</v>
      </c>
      <c r="D32" s="22" t="s">
        <v>38</v>
      </c>
      <c r="E32" s="22" t="s">
        <v>26</v>
      </c>
      <c r="F32" s="22" t="s">
        <v>61</v>
      </c>
      <c r="G32" s="32">
        <v>1</v>
      </c>
      <c r="H32" s="33">
        <v>5299</v>
      </c>
      <c r="I32" s="33">
        <v>4180</v>
      </c>
      <c r="J32" s="23">
        <f>G32*H32</f>
        <v/>
      </c>
      <c r="K32" s="23">
        <f>J32-G32*I32</f>
        <v/>
      </c>
      <c r="L32" s="24">
        <f>IF(J32=0,0,K32/J32)</f>
        <v/>
      </c>
      <c r="M32" s="32">
        <f>MONTH(A32)</f>
        <v/>
      </c>
    </row>
    <row r="33">
      <c r="A33" s="34">
        <v>46065</v>
      </c>
      <c r="B33" s="22" t="s">
        <v>89</v>
      </c>
      <c r="C33" s="22" t="s">
        <v>23</v>
      </c>
      <c r="D33" s="22" t="s">
        <v>41</v>
      </c>
      <c r="E33" s="22" t="s">
        <v>26</v>
      </c>
      <c r="F33" s="22" t="s">
        <v>61</v>
      </c>
      <c r="G33" s="32">
        <v>3</v>
      </c>
      <c r="H33" s="33">
        <v>5299</v>
      </c>
      <c r="I33" s="33">
        <v>4180</v>
      </c>
      <c r="J33" s="23">
        <f>G33*H33</f>
        <v/>
      </c>
      <c r="K33" s="23">
        <f>J33-G33*I33</f>
        <v/>
      </c>
      <c r="L33" s="24">
        <f>IF(J33=0,0,K33/J33)</f>
        <v/>
      </c>
      <c r="M33" s="32">
        <f>MONTH(A33)</f>
        <v/>
      </c>
    </row>
    <row r="34">
      <c r="A34" s="34">
        <v>46068</v>
      </c>
      <c r="B34" s="22" t="s">
        <v>90</v>
      </c>
      <c r="C34" s="22" t="s">
        <v>19</v>
      </c>
      <c r="D34" s="22" t="s">
        <v>35</v>
      </c>
      <c r="E34" s="22" t="s">
        <v>27</v>
      </c>
      <c r="F34" s="22" t="s">
        <v>66</v>
      </c>
      <c r="G34" s="32">
        <v>4</v>
      </c>
      <c r="H34" s="33">
        <v>2499</v>
      </c>
      <c r="I34" s="33">
        <v>1890</v>
      </c>
      <c r="J34" s="23">
        <f>G34*H34</f>
        <v/>
      </c>
      <c r="K34" s="23">
        <f>J34-G34*I34</f>
        <v/>
      </c>
      <c r="L34" s="24">
        <f>IF(J34=0,0,K34/J34)</f>
        <v/>
      </c>
      <c r="M34" s="32">
        <f>MONTH(A34)</f>
        <v/>
      </c>
    </row>
    <row r="35">
      <c r="A35" s="34">
        <v>46068</v>
      </c>
      <c r="B35" s="22" t="s">
        <v>91</v>
      </c>
      <c r="C35" s="22" t="s">
        <v>21</v>
      </c>
      <c r="D35" s="22" t="s">
        <v>38</v>
      </c>
      <c r="E35" s="22" t="s">
        <v>29</v>
      </c>
      <c r="F35" s="22" t="s">
        <v>70</v>
      </c>
      <c r="G35" s="32">
        <v>8</v>
      </c>
      <c r="H35" s="33">
        <v>89</v>
      </c>
      <c r="I35" s="33">
        <v>56</v>
      </c>
      <c r="J35" s="23">
        <f>G35*H35</f>
        <v/>
      </c>
      <c r="K35" s="23">
        <f>J35-G35*I35</f>
        <v/>
      </c>
      <c r="L35" s="24">
        <f>IF(J35=0,0,K35/J35)</f>
        <v/>
      </c>
      <c r="M35" s="32">
        <f>MONTH(A35)</f>
        <v/>
      </c>
    </row>
    <row r="36">
      <c r="A36" s="34">
        <v>46070</v>
      </c>
      <c r="B36" s="22" t="s">
        <v>92</v>
      </c>
      <c r="C36" s="22" t="s">
        <v>22</v>
      </c>
      <c r="D36" s="22" t="s">
        <v>40</v>
      </c>
      <c r="E36" s="22" t="s">
        <v>28</v>
      </c>
      <c r="F36" s="22" t="s">
        <v>68</v>
      </c>
      <c r="G36" s="32">
        <v>10</v>
      </c>
      <c r="H36" s="33">
        <v>399</v>
      </c>
      <c r="I36" s="33">
        <v>262</v>
      </c>
      <c r="J36" s="23">
        <f>G36*H36</f>
        <v/>
      </c>
      <c r="K36" s="23">
        <f>J36-G36*I36</f>
        <v/>
      </c>
      <c r="L36" s="24">
        <f>IF(J36=0,0,K36/J36)</f>
        <v/>
      </c>
      <c r="M36" s="32">
        <f>MONTH(A36)</f>
        <v/>
      </c>
    </row>
    <row r="37">
      <c r="A37" s="34">
        <v>46071</v>
      </c>
      <c r="B37" s="22" t="s">
        <v>93</v>
      </c>
      <c r="C37" s="22" t="s">
        <v>20</v>
      </c>
      <c r="D37" s="22" t="s">
        <v>36</v>
      </c>
      <c r="E37" s="22" t="s">
        <v>28</v>
      </c>
      <c r="F37" s="22" t="s">
        <v>68</v>
      </c>
      <c r="G37" s="32">
        <v>6</v>
      </c>
      <c r="H37" s="33">
        <v>399</v>
      </c>
      <c r="I37" s="33">
        <v>262</v>
      </c>
      <c r="J37" s="23">
        <f>G37*H37</f>
        <v/>
      </c>
      <c r="K37" s="23">
        <f>J37-G37*I37</f>
        <v/>
      </c>
      <c r="L37" s="24">
        <f>IF(J37=0,0,K37/J37)</f>
        <v/>
      </c>
      <c r="M37" s="32">
        <f>MONTH(A37)</f>
        <v/>
      </c>
    </row>
    <row r="38">
      <c r="A38" s="34">
        <v>46073</v>
      </c>
      <c r="B38" s="22" t="s">
        <v>94</v>
      </c>
      <c r="C38" s="22" t="s">
        <v>23</v>
      </c>
      <c r="D38" s="22" t="s">
        <v>41</v>
      </c>
      <c r="E38" s="22" t="s">
        <v>27</v>
      </c>
      <c r="F38" s="22" t="s">
        <v>53</v>
      </c>
      <c r="G38" s="32">
        <v>4</v>
      </c>
      <c r="H38" s="33">
        <v>1299</v>
      </c>
      <c r="I38" s="33">
        <v>968</v>
      </c>
      <c r="J38" s="23">
        <f>G38*H38</f>
        <v/>
      </c>
      <c r="K38" s="23">
        <f>J38-G38*I38</f>
        <v/>
      </c>
      <c r="L38" s="24">
        <f>IF(J38=0,0,K38/J38)</f>
        <v/>
      </c>
      <c r="M38" s="32">
        <f>MONTH(A38)</f>
        <v/>
      </c>
    </row>
    <row r="39">
      <c r="A39" s="34">
        <v>46074</v>
      </c>
      <c r="B39" s="22" t="s">
        <v>95</v>
      </c>
      <c r="C39" s="22" t="s">
        <v>21</v>
      </c>
      <c r="D39" s="22" t="s">
        <v>39</v>
      </c>
      <c r="E39" s="22" t="s">
        <v>26</v>
      </c>
      <c r="F39" s="22" t="s">
        <v>61</v>
      </c>
      <c r="G39" s="32">
        <v>3</v>
      </c>
      <c r="H39" s="33">
        <v>5299</v>
      </c>
      <c r="I39" s="33">
        <v>4180</v>
      </c>
      <c r="J39" s="23">
        <f>G39*H39</f>
        <v/>
      </c>
      <c r="K39" s="23">
        <f>J39-G39*I39</f>
        <v/>
      </c>
      <c r="L39" s="24">
        <f>IF(J39=0,0,K39/J39)</f>
        <v/>
      </c>
      <c r="M39" s="32">
        <f>MONTH(A39)</f>
        <v/>
      </c>
    </row>
    <row r="40">
      <c r="A40" s="34">
        <v>46076</v>
      </c>
      <c r="B40" s="22" t="s">
        <v>96</v>
      </c>
      <c r="C40" s="22" t="s">
        <v>23</v>
      </c>
      <c r="D40" s="22" t="s">
        <v>41</v>
      </c>
      <c r="E40" s="22" t="s">
        <v>28</v>
      </c>
      <c r="F40" s="22" t="s">
        <v>55</v>
      </c>
      <c r="G40" s="32">
        <v>2</v>
      </c>
      <c r="H40" s="33">
        <v>149</v>
      </c>
      <c r="I40" s="33">
        <v>92</v>
      </c>
      <c r="J40" s="23">
        <f>G40*H40</f>
        <v/>
      </c>
      <c r="K40" s="23">
        <f>J40-G40*I40</f>
        <v/>
      </c>
      <c r="L40" s="24">
        <f>IF(J40=0,0,K40/J40)</f>
        <v/>
      </c>
      <c r="M40" s="32">
        <f>MONTH(A40)</f>
        <v/>
      </c>
    </row>
    <row r="41">
      <c r="A41" s="34">
        <v>46083</v>
      </c>
      <c r="B41" s="22" t="s">
        <v>97</v>
      </c>
      <c r="C41" s="22" t="s">
        <v>20</v>
      </c>
      <c r="D41" s="22" t="s">
        <v>37</v>
      </c>
      <c r="E41" s="22" t="s">
        <v>29</v>
      </c>
      <c r="F41" s="22" t="s">
        <v>70</v>
      </c>
      <c r="G41" s="32">
        <v>7</v>
      </c>
      <c r="H41" s="33">
        <v>89</v>
      </c>
      <c r="I41" s="33">
        <v>56</v>
      </c>
      <c r="J41" s="23">
        <f>G41*H41</f>
        <v/>
      </c>
      <c r="K41" s="23">
        <f>J41-G41*I41</f>
        <v/>
      </c>
      <c r="L41" s="24">
        <f>IF(J41=0,0,K41/J41)</f>
        <v/>
      </c>
      <c r="M41" s="32">
        <f>MONTH(A41)</f>
        <v/>
      </c>
    </row>
    <row r="42">
      <c r="A42" s="34">
        <v>46085</v>
      </c>
      <c r="B42" s="22" t="s">
        <v>98</v>
      </c>
      <c r="C42" s="22" t="s">
        <v>23</v>
      </c>
      <c r="D42" s="22" t="s">
        <v>41</v>
      </c>
      <c r="E42" s="22" t="s">
        <v>28</v>
      </c>
      <c r="F42" s="22" t="s">
        <v>68</v>
      </c>
      <c r="G42" s="32">
        <v>3</v>
      </c>
      <c r="H42" s="33">
        <v>399</v>
      </c>
      <c r="I42" s="33">
        <v>262</v>
      </c>
      <c r="J42" s="23">
        <f>G42*H42</f>
        <v/>
      </c>
      <c r="K42" s="23">
        <f>J42-G42*I42</f>
        <v/>
      </c>
      <c r="L42" s="24">
        <f>IF(J42=0,0,K42/J42)</f>
        <v/>
      </c>
      <c r="M42" s="32">
        <f>MONTH(A42)</f>
        <v/>
      </c>
    </row>
    <row r="43">
      <c r="A43" s="34">
        <v>46089</v>
      </c>
      <c r="B43" s="22" t="s">
        <v>99</v>
      </c>
      <c r="C43" s="22" t="s">
        <v>19</v>
      </c>
      <c r="D43" s="22" t="s">
        <v>35</v>
      </c>
      <c r="E43" s="22" t="s">
        <v>30</v>
      </c>
      <c r="F43" s="22" t="s">
        <v>49</v>
      </c>
      <c r="G43" s="32">
        <v>14</v>
      </c>
      <c r="H43" s="33">
        <v>128</v>
      </c>
      <c r="I43" s="33">
        <v>88</v>
      </c>
      <c r="J43" s="23">
        <f>G43*H43</f>
        <v/>
      </c>
      <c r="K43" s="23">
        <f>J43-G43*I43</f>
        <v/>
      </c>
      <c r="L43" s="24">
        <f>IF(J43=0,0,K43/J43)</f>
        <v/>
      </c>
      <c r="M43" s="32">
        <f>MONTH(A43)</f>
        <v/>
      </c>
    </row>
    <row r="44">
      <c r="A44" s="34">
        <v>46091</v>
      </c>
      <c r="B44" s="22" t="s">
        <v>100</v>
      </c>
      <c r="C44" s="22" t="s">
        <v>19</v>
      </c>
      <c r="D44" s="22" t="s">
        <v>34</v>
      </c>
      <c r="E44" s="22" t="s">
        <v>30</v>
      </c>
      <c r="F44" s="22" t="s">
        <v>57</v>
      </c>
      <c r="G44" s="32">
        <v>5</v>
      </c>
      <c r="H44" s="33">
        <v>259</v>
      </c>
      <c r="I44" s="33">
        <v>178</v>
      </c>
      <c r="J44" s="23">
        <f>G44*H44</f>
        <v/>
      </c>
      <c r="K44" s="23">
        <f>J44-G44*I44</f>
        <v/>
      </c>
      <c r="L44" s="24">
        <f>IF(J44=0,0,K44/J44)</f>
        <v/>
      </c>
      <c r="M44" s="32">
        <f>MONTH(A44)</f>
        <v/>
      </c>
    </row>
    <row r="45">
      <c r="A45" s="34">
        <v>46093</v>
      </c>
      <c r="B45" s="22" t="s">
        <v>101</v>
      </c>
      <c r="C45" s="22" t="s">
        <v>23</v>
      </c>
      <c r="D45" s="22" t="s">
        <v>41</v>
      </c>
      <c r="E45" s="22" t="s">
        <v>28</v>
      </c>
      <c r="F45" s="22" t="s">
        <v>68</v>
      </c>
      <c r="G45" s="32">
        <v>10</v>
      </c>
      <c r="H45" s="33">
        <v>399</v>
      </c>
      <c r="I45" s="33">
        <v>262</v>
      </c>
      <c r="J45" s="23">
        <f>G45*H45</f>
        <v/>
      </c>
      <c r="K45" s="23">
        <f>J45-G45*I45</f>
        <v/>
      </c>
      <c r="L45" s="24">
        <f>IF(J45=0,0,K45/J45)</f>
        <v/>
      </c>
      <c r="M45" s="32">
        <f>MONTH(A45)</f>
        <v/>
      </c>
    </row>
    <row r="46">
      <c r="A46" s="34">
        <v>46094</v>
      </c>
      <c r="B46" s="22" t="s">
        <v>102</v>
      </c>
      <c r="C46" s="22" t="s">
        <v>22</v>
      </c>
      <c r="D46" s="22" t="s">
        <v>40</v>
      </c>
      <c r="E46" s="22" t="s">
        <v>27</v>
      </c>
      <c r="F46" s="22" t="s">
        <v>66</v>
      </c>
      <c r="G46" s="32">
        <v>3</v>
      </c>
      <c r="H46" s="33">
        <v>2499</v>
      </c>
      <c r="I46" s="33">
        <v>1890</v>
      </c>
      <c r="J46" s="23">
        <f>G46*H46</f>
        <v/>
      </c>
      <c r="K46" s="23">
        <f>J46-G46*I46</f>
        <v/>
      </c>
      <c r="L46" s="24">
        <f>IF(J46=0,0,K46/J46)</f>
        <v/>
      </c>
      <c r="M46" s="32">
        <f>MONTH(A46)</f>
        <v/>
      </c>
    </row>
    <row r="47">
      <c r="A47" s="34">
        <v>46096</v>
      </c>
      <c r="B47" s="22" t="s">
        <v>103</v>
      </c>
      <c r="C47" s="22" t="s">
        <v>21</v>
      </c>
      <c r="D47" s="22" t="s">
        <v>38</v>
      </c>
      <c r="E47" s="22" t="s">
        <v>29</v>
      </c>
      <c r="F47" s="22" t="s">
        <v>51</v>
      </c>
      <c r="G47" s="32">
        <v>2</v>
      </c>
      <c r="H47" s="33">
        <v>699</v>
      </c>
      <c r="I47" s="33">
        <v>512</v>
      </c>
      <c r="J47" s="23">
        <f>G47*H47</f>
        <v/>
      </c>
      <c r="K47" s="23">
        <f>J47-G47*I47</f>
        <v/>
      </c>
      <c r="L47" s="24">
        <f>IF(J47=0,0,K47/J47)</f>
        <v/>
      </c>
      <c r="M47" s="32">
        <f>MONTH(A47)</f>
        <v/>
      </c>
    </row>
    <row r="48">
      <c r="A48" s="34">
        <v>46097</v>
      </c>
      <c r="B48" s="22" t="s">
        <v>104</v>
      </c>
      <c r="C48" s="22" t="s">
        <v>21</v>
      </c>
      <c r="D48" s="22" t="s">
        <v>39</v>
      </c>
      <c r="E48" s="22" t="s">
        <v>29</v>
      </c>
      <c r="F48" s="22" t="s">
        <v>70</v>
      </c>
      <c r="G48" s="32">
        <v>5</v>
      </c>
      <c r="H48" s="33">
        <v>89</v>
      </c>
      <c r="I48" s="33">
        <v>56</v>
      </c>
      <c r="J48" s="23">
        <f>G48*H48</f>
        <v/>
      </c>
      <c r="K48" s="23">
        <f>J48-G48*I48</f>
        <v/>
      </c>
      <c r="L48" s="24">
        <f>IF(J48=0,0,K48/J48)</f>
        <v/>
      </c>
      <c r="M48" s="32">
        <f>MONTH(A48)</f>
        <v/>
      </c>
    </row>
    <row r="49">
      <c r="A49" s="34">
        <v>46101</v>
      </c>
      <c r="B49" s="22" t="s">
        <v>105</v>
      </c>
      <c r="C49" s="22" t="s">
        <v>23</v>
      </c>
      <c r="D49" s="22" t="s">
        <v>41</v>
      </c>
      <c r="E49" s="22" t="s">
        <v>29</v>
      </c>
      <c r="F49" s="22" t="s">
        <v>70</v>
      </c>
      <c r="G49" s="32">
        <v>2</v>
      </c>
      <c r="H49" s="33">
        <v>89</v>
      </c>
      <c r="I49" s="33">
        <v>56</v>
      </c>
      <c r="J49" s="23">
        <f>G49*H49</f>
        <v/>
      </c>
      <c r="K49" s="23">
        <f>J49-G49*I49</f>
        <v/>
      </c>
      <c r="L49" s="24">
        <f>IF(J49=0,0,K49/J49)</f>
        <v/>
      </c>
      <c r="M49" s="32">
        <f>MONTH(A49)</f>
        <v/>
      </c>
    </row>
    <row r="50">
      <c r="A50" s="34">
        <v>46103</v>
      </c>
      <c r="B50" s="22" t="s">
        <v>106</v>
      </c>
      <c r="C50" s="22" t="s">
        <v>20</v>
      </c>
      <c r="D50" s="22" t="s">
        <v>37</v>
      </c>
      <c r="E50" s="22" t="s">
        <v>27</v>
      </c>
      <c r="F50" s="22" t="s">
        <v>66</v>
      </c>
      <c r="G50" s="32">
        <v>1</v>
      </c>
      <c r="H50" s="33">
        <v>2499</v>
      </c>
      <c r="I50" s="33">
        <v>1890</v>
      </c>
      <c r="J50" s="23">
        <f>G50*H50</f>
        <v/>
      </c>
      <c r="K50" s="23">
        <f>J50-G50*I50</f>
        <v/>
      </c>
      <c r="L50" s="24">
        <f>IF(J50=0,0,K50/J50)</f>
        <v/>
      </c>
      <c r="M50" s="32">
        <f>MONTH(A50)</f>
        <v/>
      </c>
    </row>
    <row r="51">
      <c r="A51" s="34">
        <v>46103</v>
      </c>
      <c r="B51" s="22" t="s">
        <v>107</v>
      </c>
      <c r="C51" s="22" t="s">
        <v>20</v>
      </c>
      <c r="D51" s="22" t="s">
        <v>37</v>
      </c>
      <c r="E51" s="22" t="s">
        <v>26</v>
      </c>
      <c r="F51" s="22" t="s">
        <v>61</v>
      </c>
      <c r="G51" s="32">
        <v>1</v>
      </c>
      <c r="H51" s="33">
        <v>5299</v>
      </c>
      <c r="I51" s="33">
        <v>4180</v>
      </c>
      <c r="J51" s="23">
        <f>G51*H51</f>
        <v/>
      </c>
      <c r="K51" s="23">
        <f>J51-G51*I51</f>
        <v/>
      </c>
      <c r="L51" s="24">
        <f>IF(J51=0,0,K51/J51)</f>
        <v/>
      </c>
      <c r="M51" s="32">
        <f>MONTH(A51)</f>
        <v/>
      </c>
    </row>
    <row r="52">
      <c r="A52" s="34">
        <v>46106</v>
      </c>
      <c r="B52" s="22" t="s">
        <v>108</v>
      </c>
      <c r="C52" s="22" t="s">
        <v>19</v>
      </c>
      <c r="D52" s="22" t="s">
        <v>34</v>
      </c>
      <c r="E52" s="22" t="s">
        <v>29</v>
      </c>
      <c r="F52" s="22" t="s">
        <v>51</v>
      </c>
      <c r="G52" s="32">
        <v>8</v>
      </c>
      <c r="H52" s="33">
        <v>699</v>
      </c>
      <c r="I52" s="33">
        <v>512</v>
      </c>
      <c r="J52" s="23">
        <f>G52*H52</f>
        <v/>
      </c>
      <c r="K52" s="23">
        <f>J52-G52*I52</f>
        <v/>
      </c>
      <c r="L52" s="24">
        <f>IF(J52=0,0,K52/J52)</f>
        <v/>
      </c>
      <c r="M52" s="32">
        <f>MONTH(A52)</f>
        <v/>
      </c>
    </row>
    <row r="53">
      <c r="A53" s="34">
        <v>46106</v>
      </c>
      <c r="B53" s="22" t="s">
        <v>109</v>
      </c>
      <c r="C53" s="22" t="s">
        <v>21</v>
      </c>
      <c r="D53" s="22" t="s">
        <v>39</v>
      </c>
      <c r="E53" s="22" t="s">
        <v>27</v>
      </c>
      <c r="F53" s="22" t="s">
        <v>53</v>
      </c>
      <c r="G53" s="32">
        <v>3</v>
      </c>
      <c r="H53" s="33">
        <v>1299</v>
      </c>
      <c r="I53" s="33">
        <v>968</v>
      </c>
      <c r="J53" s="23">
        <f>G53*H53</f>
        <v/>
      </c>
      <c r="K53" s="23">
        <f>J53-G53*I53</f>
        <v/>
      </c>
      <c r="L53" s="24">
        <f>IF(J53=0,0,K53/J53)</f>
        <v/>
      </c>
      <c r="M53" s="32">
        <f>MONTH(A53)</f>
        <v/>
      </c>
    </row>
    <row r="54">
      <c r="A54" s="34">
        <v>46109</v>
      </c>
      <c r="B54" s="22" t="s">
        <v>110</v>
      </c>
      <c r="C54" s="22" t="s">
        <v>20</v>
      </c>
      <c r="D54" s="22" t="s">
        <v>36</v>
      </c>
      <c r="E54" s="22" t="s">
        <v>30</v>
      </c>
      <c r="F54" s="22" t="s">
        <v>49</v>
      </c>
      <c r="G54" s="32">
        <v>16</v>
      </c>
      <c r="H54" s="33">
        <v>128</v>
      </c>
      <c r="I54" s="33">
        <v>88</v>
      </c>
      <c r="J54" s="23">
        <f>G54*H54</f>
        <v/>
      </c>
      <c r="K54" s="23">
        <f>J54-G54*I54</f>
        <v/>
      </c>
      <c r="L54" s="24">
        <f>IF(J54=0,0,K54/J54)</f>
        <v/>
      </c>
      <c r="M54" s="32">
        <f>MONTH(A54)</f>
        <v/>
      </c>
    </row>
    <row r="55">
      <c r="A55" s="34">
        <v>46110</v>
      </c>
      <c r="B55" s="22" t="s">
        <v>111</v>
      </c>
      <c r="C55" s="22" t="s">
        <v>20</v>
      </c>
      <c r="D55" s="22" t="s">
        <v>37</v>
      </c>
      <c r="E55" s="22" t="s">
        <v>28</v>
      </c>
      <c r="F55" s="22" t="s">
        <v>68</v>
      </c>
      <c r="G55" s="32">
        <v>10</v>
      </c>
      <c r="H55" s="33">
        <v>399</v>
      </c>
      <c r="I55" s="33">
        <v>262</v>
      </c>
      <c r="J55" s="23">
        <f>G55*H55</f>
        <v/>
      </c>
      <c r="K55" s="23">
        <f>J55-G55*I55</f>
        <v/>
      </c>
      <c r="L55" s="24">
        <f>IF(J55=0,0,K55/J55)</f>
        <v/>
      </c>
      <c r="M55" s="32">
        <f>MONTH(A55)</f>
        <v/>
      </c>
    </row>
    <row r="56">
      <c r="A56" s="34">
        <v>46112</v>
      </c>
      <c r="B56" s="22" t="s">
        <v>112</v>
      </c>
      <c r="C56" s="22" t="s">
        <v>21</v>
      </c>
      <c r="D56" s="22" t="s">
        <v>39</v>
      </c>
      <c r="E56" s="22" t="s">
        <v>30</v>
      </c>
      <c r="F56" s="22" t="s">
        <v>57</v>
      </c>
      <c r="G56" s="32">
        <v>11</v>
      </c>
      <c r="H56" s="33">
        <v>259</v>
      </c>
      <c r="I56" s="33">
        <v>178</v>
      </c>
      <c r="J56" s="23">
        <f>G56*H56</f>
        <v/>
      </c>
      <c r="K56" s="23">
        <f>J56-G56*I56</f>
        <v/>
      </c>
      <c r="L56" s="24">
        <f>IF(J56=0,0,K56/J56)</f>
        <v/>
      </c>
      <c r="M56" s="32">
        <f>MONTH(A56)</f>
        <v/>
      </c>
    </row>
    <row r="57">
      <c r="A57" s="34">
        <v>46115</v>
      </c>
      <c r="B57" s="22" t="s">
        <v>113</v>
      </c>
      <c r="C57" s="22" t="s">
        <v>21</v>
      </c>
      <c r="D57" s="22" t="s">
        <v>38</v>
      </c>
      <c r="E57" s="22" t="s">
        <v>27</v>
      </c>
      <c r="F57" s="22" t="s">
        <v>66</v>
      </c>
      <c r="G57" s="32">
        <v>3</v>
      </c>
      <c r="H57" s="33">
        <v>2499</v>
      </c>
      <c r="I57" s="33">
        <v>1890</v>
      </c>
      <c r="J57" s="23">
        <f>G57*H57</f>
        <v/>
      </c>
      <c r="K57" s="23">
        <f>J57-G57*I57</f>
        <v/>
      </c>
      <c r="L57" s="24">
        <f>IF(J57=0,0,K57/J57)</f>
        <v/>
      </c>
      <c r="M57" s="32">
        <f>MONTH(A57)</f>
        <v/>
      </c>
    </row>
    <row r="58">
      <c r="A58" s="34">
        <v>46116</v>
      </c>
      <c r="B58" s="22" t="s">
        <v>114</v>
      </c>
      <c r="C58" s="22" t="s">
        <v>19</v>
      </c>
      <c r="D58" s="22" t="s">
        <v>34</v>
      </c>
      <c r="E58" s="22" t="s">
        <v>27</v>
      </c>
      <c r="F58" s="22" t="s">
        <v>53</v>
      </c>
      <c r="G58" s="32">
        <v>1</v>
      </c>
      <c r="H58" s="33">
        <v>1299</v>
      </c>
      <c r="I58" s="33">
        <v>968</v>
      </c>
      <c r="J58" s="23">
        <f>G58*H58</f>
        <v/>
      </c>
      <c r="K58" s="23">
        <f>J58-G58*I58</f>
        <v/>
      </c>
      <c r="L58" s="24">
        <f>IF(J58=0,0,K58/J58)</f>
        <v/>
      </c>
      <c r="M58" s="32">
        <f>MONTH(A58)</f>
        <v/>
      </c>
    </row>
    <row r="59">
      <c r="A59" s="34">
        <v>46117</v>
      </c>
      <c r="B59" s="22" t="s">
        <v>115</v>
      </c>
      <c r="C59" s="22" t="s">
        <v>23</v>
      </c>
      <c r="D59" s="22" t="s">
        <v>41</v>
      </c>
      <c r="E59" s="22" t="s">
        <v>27</v>
      </c>
      <c r="F59" s="22" t="s">
        <v>53</v>
      </c>
      <c r="G59" s="32">
        <v>4</v>
      </c>
      <c r="H59" s="33">
        <v>1299</v>
      </c>
      <c r="I59" s="33">
        <v>968</v>
      </c>
      <c r="J59" s="23">
        <f>G59*H59</f>
        <v/>
      </c>
      <c r="K59" s="23">
        <f>J59-G59*I59</f>
        <v/>
      </c>
      <c r="L59" s="24">
        <f>IF(J59=0,0,K59/J59)</f>
        <v/>
      </c>
      <c r="M59" s="32">
        <f>MONTH(A59)</f>
        <v/>
      </c>
    </row>
    <row r="60">
      <c r="A60" s="34">
        <v>46119</v>
      </c>
      <c r="B60" s="22" t="s">
        <v>116</v>
      </c>
      <c r="C60" s="22" t="s">
        <v>20</v>
      </c>
      <c r="D60" s="22" t="s">
        <v>36</v>
      </c>
      <c r="E60" s="22" t="s">
        <v>29</v>
      </c>
      <c r="F60" s="22" t="s">
        <v>51</v>
      </c>
      <c r="G60" s="32">
        <v>6</v>
      </c>
      <c r="H60" s="33">
        <v>699</v>
      </c>
      <c r="I60" s="33">
        <v>512</v>
      </c>
      <c r="J60" s="23">
        <f>G60*H60</f>
        <v/>
      </c>
      <c r="K60" s="23">
        <f>J60-G60*I60</f>
        <v/>
      </c>
      <c r="L60" s="24">
        <f>IF(J60=0,0,K60/J60)</f>
        <v/>
      </c>
      <c r="M60" s="32">
        <f>MONTH(A60)</f>
        <v/>
      </c>
    </row>
    <row r="61">
      <c r="A61" s="34">
        <v>46122</v>
      </c>
      <c r="B61" s="22" t="s">
        <v>117</v>
      </c>
      <c r="C61" s="22" t="s">
        <v>19</v>
      </c>
      <c r="D61" s="22" t="s">
        <v>35</v>
      </c>
      <c r="E61" s="22" t="s">
        <v>29</v>
      </c>
      <c r="F61" s="22" t="s">
        <v>70</v>
      </c>
      <c r="G61" s="32">
        <v>4</v>
      </c>
      <c r="H61" s="33">
        <v>89</v>
      </c>
      <c r="I61" s="33">
        <v>56</v>
      </c>
      <c r="J61" s="23">
        <f>G61*H61</f>
        <v/>
      </c>
      <c r="K61" s="23">
        <f>J61-G61*I61</f>
        <v/>
      </c>
      <c r="L61" s="24">
        <f>IF(J61=0,0,K61/J61)</f>
        <v/>
      </c>
      <c r="M61" s="32">
        <f>MONTH(A61)</f>
        <v/>
      </c>
    </row>
    <row r="62">
      <c r="A62" s="34">
        <v>46123</v>
      </c>
      <c r="B62" s="22" t="s">
        <v>118</v>
      </c>
      <c r="C62" s="22" t="s">
        <v>23</v>
      </c>
      <c r="D62" s="22" t="s">
        <v>41</v>
      </c>
      <c r="E62" s="22" t="s">
        <v>26</v>
      </c>
      <c r="F62" s="22" t="s">
        <v>73</v>
      </c>
      <c r="G62" s="32">
        <v>3</v>
      </c>
      <c r="H62" s="33">
        <v>6999</v>
      </c>
      <c r="I62" s="33">
        <v>5520</v>
      </c>
      <c r="J62" s="23">
        <f>G62*H62</f>
        <v/>
      </c>
      <c r="K62" s="23">
        <f>J62-G62*I62</f>
        <v/>
      </c>
      <c r="L62" s="24">
        <f>IF(J62=0,0,K62/J62)</f>
        <v/>
      </c>
      <c r="M62" s="32">
        <f>MONTH(A62)</f>
        <v/>
      </c>
    </row>
    <row r="63">
      <c r="A63" s="34">
        <v>46124</v>
      </c>
      <c r="B63" s="22" t="s">
        <v>119</v>
      </c>
      <c r="C63" s="22" t="s">
        <v>21</v>
      </c>
      <c r="D63" s="22" t="s">
        <v>39</v>
      </c>
      <c r="E63" s="22" t="s">
        <v>30</v>
      </c>
      <c r="F63" s="22" t="s">
        <v>57</v>
      </c>
      <c r="G63" s="32">
        <v>10</v>
      </c>
      <c r="H63" s="33">
        <v>259</v>
      </c>
      <c r="I63" s="33">
        <v>178</v>
      </c>
      <c r="J63" s="23">
        <f>G63*H63</f>
        <v/>
      </c>
      <c r="K63" s="23">
        <f>J63-G63*I63</f>
        <v/>
      </c>
      <c r="L63" s="24">
        <f>IF(J63=0,0,K63/J63)</f>
        <v/>
      </c>
      <c r="M63" s="32">
        <f>MONTH(A63)</f>
        <v/>
      </c>
    </row>
    <row r="64">
      <c r="A64" s="34">
        <v>46126</v>
      </c>
      <c r="B64" s="22" t="s">
        <v>120</v>
      </c>
      <c r="C64" s="22" t="s">
        <v>19</v>
      </c>
      <c r="D64" s="22" t="s">
        <v>35</v>
      </c>
      <c r="E64" s="22" t="s">
        <v>28</v>
      </c>
      <c r="F64" s="22" t="s">
        <v>55</v>
      </c>
      <c r="G64" s="32">
        <v>10</v>
      </c>
      <c r="H64" s="33">
        <v>149</v>
      </c>
      <c r="I64" s="33">
        <v>92</v>
      </c>
      <c r="J64" s="23">
        <f>G64*H64</f>
        <v/>
      </c>
      <c r="K64" s="23">
        <f>J64-G64*I64</f>
        <v/>
      </c>
      <c r="L64" s="24">
        <f>IF(J64=0,0,K64/J64)</f>
        <v/>
      </c>
      <c r="M64" s="32">
        <f>MONTH(A64)</f>
        <v/>
      </c>
    </row>
    <row r="65">
      <c r="A65" s="34">
        <v>46126</v>
      </c>
      <c r="B65" s="22" t="s">
        <v>121</v>
      </c>
      <c r="C65" s="22" t="s">
        <v>21</v>
      </c>
      <c r="D65" s="22" t="s">
        <v>39</v>
      </c>
      <c r="E65" s="22" t="s">
        <v>28</v>
      </c>
      <c r="F65" s="22" t="s">
        <v>55</v>
      </c>
      <c r="G65" s="32">
        <v>7</v>
      </c>
      <c r="H65" s="33">
        <v>149</v>
      </c>
      <c r="I65" s="33">
        <v>92</v>
      </c>
      <c r="J65" s="23">
        <f>G65*H65</f>
        <v/>
      </c>
      <c r="K65" s="23">
        <f>J65-G65*I65</f>
        <v/>
      </c>
      <c r="L65" s="24">
        <f>IF(J65=0,0,K65/J65)</f>
        <v/>
      </c>
      <c r="M65" s="32">
        <f>MONTH(A65)</f>
        <v/>
      </c>
    </row>
    <row r="66">
      <c r="A66" s="34">
        <v>46126</v>
      </c>
      <c r="B66" s="22" t="s">
        <v>122</v>
      </c>
      <c r="C66" s="22" t="s">
        <v>20</v>
      </c>
      <c r="D66" s="22" t="s">
        <v>36</v>
      </c>
      <c r="E66" s="22" t="s">
        <v>28</v>
      </c>
      <c r="F66" s="22" t="s">
        <v>55</v>
      </c>
      <c r="G66" s="32">
        <v>2</v>
      </c>
      <c r="H66" s="33">
        <v>149</v>
      </c>
      <c r="I66" s="33">
        <v>92</v>
      </c>
      <c r="J66" s="23">
        <f>G66*H66</f>
        <v/>
      </c>
      <c r="K66" s="23">
        <f>J66-G66*I66</f>
        <v/>
      </c>
      <c r="L66" s="24">
        <f>IF(J66=0,0,K66/J66)</f>
        <v/>
      </c>
      <c r="M66" s="32">
        <f>MONTH(A66)</f>
        <v/>
      </c>
    </row>
    <row r="67">
      <c r="A67" s="34">
        <v>46130</v>
      </c>
      <c r="B67" s="22" t="s">
        <v>123</v>
      </c>
      <c r="C67" s="22" t="s">
        <v>23</v>
      </c>
      <c r="D67" s="22" t="s">
        <v>41</v>
      </c>
      <c r="E67" s="22" t="s">
        <v>26</v>
      </c>
      <c r="F67" s="22" t="s">
        <v>73</v>
      </c>
      <c r="G67" s="32">
        <v>1</v>
      </c>
      <c r="H67" s="33">
        <v>6999</v>
      </c>
      <c r="I67" s="33">
        <v>5520</v>
      </c>
      <c r="J67" s="23">
        <f>G67*H67</f>
        <v/>
      </c>
      <c r="K67" s="23">
        <f>J67-G67*I67</f>
        <v/>
      </c>
      <c r="L67" s="24">
        <f>IF(J67=0,0,K67/J67)</f>
        <v/>
      </c>
      <c r="M67" s="32">
        <f>MONTH(A67)</f>
        <v/>
      </c>
    </row>
    <row r="68">
      <c r="A68" s="34">
        <v>46131</v>
      </c>
      <c r="B68" s="22" t="s">
        <v>124</v>
      </c>
      <c r="C68" s="22" t="s">
        <v>20</v>
      </c>
      <c r="D68" s="22" t="s">
        <v>37</v>
      </c>
      <c r="E68" s="22" t="s">
        <v>28</v>
      </c>
      <c r="F68" s="22" t="s">
        <v>55</v>
      </c>
      <c r="G68" s="32">
        <v>9</v>
      </c>
      <c r="H68" s="33">
        <v>149</v>
      </c>
      <c r="I68" s="33">
        <v>92</v>
      </c>
      <c r="J68" s="23">
        <f>G68*H68</f>
        <v/>
      </c>
      <c r="K68" s="23">
        <f>J68-G68*I68</f>
        <v/>
      </c>
      <c r="L68" s="24">
        <f>IF(J68=0,0,K68/J68)</f>
        <v/>
      </c>
      <c r="M68" s="32">
        <f>MONTH(A68)</f>
        <v/>
      </c>
    </row>
    <row r="69">
      <c r="A69" s="34">
        <v>46131</v>
      </c>
      <c r="B69" s="22" t="s">
        <v>125</v>
      </c>
      <c r="C69" s="22" t="s">
        <v>20</v>
      </c>
      <c r="D69" s="22" t="s">
        <v>36</v>
      </c>
      <c r="E69" s="22" t="s">
        <v>30</v>
      </c>
      <c r="F69" s="22" t="s">
        <v>49</v>
      </c>
      <c r="G69" s="32">
        <v>18</v>
      </c>
      <c r="H69" s="33">
        <v>128</v>
      </c>
      <c r="I69" s="33">
        <v>88</v>
      </c>
      <c r="J69" s="23">
        <f>G69*H69</f>
        <v/>
      </c>
      <c r="K69" s="23">
        <f>J69-G69*I69</f>
        <v/>
      </c>
      <c r="L69" s="24">
        <f>IF(J69=0,0,K69/J69)</f>
        <v/>
      </c>
      <c r="M69" s="32">
        <f>MONTH(A69)</f>
        <v/>
      </c>
    </row>
    <row r="70">
      <c r="A70" s="34">
        <v>46134</v>
      </c>
      <c r="B70" s="22" t="s">
        <v>126</v>
      </c>
      <c r="C70" s="22" t="s">
        <v>20</v>
      </c>
      <c r="D70" s="22" t="s">
        <v>37</v>
      </c>
      <c r="E70" s="22" t="s">
        <v>28</v>
      </c>
      <c r="F70" s="22" t="s">
        <v>55</v>
      </c>
      <c r="G70" s="32">
        <v>2</v>
      </c>
      <c r="H70" s="33">
        <v>149</v>
      </c>
      <c r="I70" s="33">
        <v>92</v>
      </c>
      <c r="J70" s="23">
        <f>G70*H70</f>
        <v/>
      </c>
      <c r="K70" s="23">
        <f>J70-G70*I70</f>
        <v/>
      </c>
      <c r="L70" s="24">
        <f>IF(J70=0,0,K70/J70)</f>
        <v/>
      </c>
      <c r="M70" s="32">
        <f>MONTH(A70)</f>
        <v/>
      </c>
    </row>
    <row r="71">
      <c r="A71" s="34">
        <v>46134</v>
      </c>
      <c r="B71" s="22" t="s">
        <v>127</v>
      </c>
      <c r="C71" s="22" t="s">
        <v>22</v>
      </c>
      <c r="D71" s="22" t="s">
        <v>40</v>
      </c>
      <c r="E71" s="22" t="s">
        <v>27</v>
      </c>
      <c r="F71" s="22" t="s">
        <v>66</v>
      </c>
      <c r="G71" s="32">
        <v>2</v>
      </c>
      <c r="H71" s="33">
        <v>2499</v>
      </c>
      <c r="I71" s="33">
        <v>1890</v>
      </c>
      <c r="J71" s="23">
        <f>G71*H71</f>
        <v/>
      </c>
      <c r="K71" s="23">
        <f>J71-G71*I71</f>
        <v/>
      </c>
      <c r="L71" s="24">
        <f>IF(J71=0,0,K71/J71)</f>
        <v/>
      </c>
      <c r="M71" s="32">
        <f>MONTH(A71)</f>
        <v/>
      </c>
    </row>
    <row r="72">
      <c r="A72" s="34">
        <v>46138</v>
      </c>
      <c r="B72" s="22" t="s">
        <v>128</v>
      </c>
      <c r="C72" s="22" t="s">
        <v>19</v>
      </c>
      <c r="D72" s="22" t="s">
        <v>35</v>
      </c>
      <c r="E72" s="22" t="s">
        <v>28</v>
      </c>
      <c r="F72" s="22" t="s">
        <v>68</v>
      </c>
      <c r="G72" s="32">
        <v>7</v>
      </c>
      <c r="H72" s="33">
        <v>399</v>
      </c>
      <c r="I72" s="33">
        <v>262</v>
      </c>
      <c r="J72" s="23">
        <f>G72*H72</f>
        <v/>
      </c>
      <c r="K72" s="23">
        <f>J72-G72*I72</f>
        <v/>
      </c>
      <c r="L72" s="24">
        <f>IF(J72=0,0,K72/J72)</f>
        <v/>
      </c>
      <c r="M72" s="32">
        <f>MONTH(A72)</f>
        <v/>
      </c>
    </row>
    <row r="73">
      <c r="A73" s="34">
        <v>46142</v>
      </c>
      <c r="B73" s="22" t="s">
        <v>129</v>
      </c>
      <c r="C73" s="22" t="s">
        <v>21</v>
      </c>
      <c r="D73" s="22" t="s">
        <v>39</v>
      </c>
      <c r="E73" s="22" t="s">
        <v>27</v>
      </c>
      <c r="F73" s="22" t="s">
        <v>66</v>
      </c>
      <c r="G73" s="32">
        <v>1</v>
      </c>
      <c r="H73" s="33">
        <v>2499</v>
      </c>
      <c r="I73" s="33">
        <v>1890</v>
      </c>
      <c r="J73" s="23">
        <f>G73*H73</f>
        <v/>
      </c>
      <c r="K73" s="23">
        <f>J73-G73*I73</f>
        <v/>
      </c>
      <c r="L73" s="24">
        <f>IF(J73=0,0,K73/J73)</f>
        <v/>
      </c>
      <c r="M73" s="32">
        <f>MONTH(A73)</f>
        <v/>
      </c>
    </row>
    <row r="74">
      <c r="A74" s="34">
        <v>46144</v>
      </c>
      <c r="B74" s="22" t="s">
        <v>130</v>
      </c>
      <c r="C74" s="22" t="s">
        <v>19</v>
      </c>
      <c r="D74" s="22" t="s">
        <v>34</v>
      </c>
      <c r="E74" s="22" t="s">
        <v>29</v>
      </c>
      <c r="F74" s="22" t="s">
        <v>51</v>
      </c>
      <c r="G74" s="32">
        <v>5</v>
      </c>
      <c r="H74" s="33">
        <v>699</v>
      </c>
      <c r="I74" s="33">
        <v>512</v>
      </c>
      <c r="J74" s="23">
        <f>G74*H74</f>
        <v/>
      </c>
      <c r="K74" s="23">
        <f>J74-G74*I74</f>
        <v/>
      </c>
      <c r="L74" s="24">
        <f>IF(J74=0,0,K74/J74)</f>
        <v/>
      </c>
      <c r="M74" s="32">
        <f>MONTH(A74)</f>
        <v/>
      </c>
    </row>
    <row r="75">
      <c r="A75" s="34">
        <v>46146</v>
      </c>
      <c r="B75" s="22" t="s">
        <v>131</v>
      </c>
      <c r="C75" s="22" t="s">
        <v>21</v>
      </c>
      <c r="D75" s="22" t="s">
        <v>39</v>
      </c>
      <c r="E75" s="22" t="s">
        <v>26</v>
      </c>
      <c r="F75" s="22" t="s">
        <v>73</v>
      </c>
      <c r="G75" s="32">
        <v>3</v>
      </c>
      <c r="H75" s="33">
        <v>6999</v>
      </c>
      <c r="I75" s="33">
        <v>5520</v>
      </c>
      <c r="J75" s="23">
        <f>G75*H75</f>
        <v/>
      </c>
      <c r="K75" s="23">
        <f>J75-G75*I75</f>
        <v/>
      </c>
      <c r="L75" s="24">
        <f>IF(J75=0,0,K75/J75)</f>
        <v/>
      </c>
      <c r="M75" s="32">
        <f>MONTH(A75)</f>
        <v/>
      </c>
    </row>
    <row r="76">
      <c r="A76" s="34">
        <v>46148</v>
      </c>
      <c r="B76" s="22" t="s">
        <v>132</v>
      </c>
      <c r="C76" s="22" t="s">
        <v>21</v>
      </c>
      <c r="D76" s="22" t="s">
        <v>38</v>
      </c>
      <c r="E76" s="22" t="s">
        <v>26</v>
      </c>
      <c r="F76" s="22" t="s">
        <v>61</v>
      </c>
      <c r="G76" s="32">
        <v>2</v>
      </c>
      <c r="H76" s="33">
        <v>5299</v>
      </c>
      <c r="I76" s="33">
        <v>4180</v>
      </c>
      <c r="J76" s="23">
        <f>G76*H76</f>
        <v/>
      </c>
      <c r="K76" s="23">
        <f>J76-G76*I76</f>
        <v/>
      </c>
      <c r="L76" s="24">
        <f>IF(J76=0,0,K76/J76)</f>
        <v/>
      </c>
      <c r="M76" s="32">
        <f>MONTH(A76)</f>
        <v/>
      </c>
    </row>
    <row r="77">
      <c r="A77" s="34">
        <v>46148</v>
      </c>
      <c r="B77" s="22" t="s">
        <v>133</v>
      </c>
      <c r="C77" s="22" t="s">
        <v>21</v>
      </c>
      <c r="D77" s="22" t="s">
        <v>38</v>
      </c>
      <c r="E77" s="22" t="s">
        <v>28</v>
      </c>
      <c r="F77" s="22" t="s">
        <v>68</v>
      </c>
      <c r="G77" s="32">
        <v>9</v>
      </c>
      <c r="H77" s="33">
        <v>399</v>
      </c>
      <c r="I77" s="33">
        <v>262</v>
      </c>
      <c r="J77" s="23">
        <f>G77*H77</f>
        <v/>
      </c>
      <c r="K77" s="23">
        <f>J77-G77*I77</f>
        <v/>
      </c>
      <c r="L77" s="24">
        <f>IF(J77=0,0,K77/J77)</f>
        <v/>
      </c>
      <c r="M77" s="32">
        <f>MONTH(A77)</f>
        <v/>
      </c>
    </row>
    <row r="78">
      <c r="A78" s="34">
        <v>46148</v>
      </c>
      <c r="B78" s="22" t="s">
        <v>134</v>
      </c>
      <c r="C78" s="22" t="s">
        <v>21</v>
      </c>
      <c r="D78" s="22" t="s">
        <v>39</v>
      </c>
      <c r="E78" s="22" t="s">
        <v>28</v>
      </c>
      <c r="F78" s="22" t="s">
        <v>68</v>
      </c>
      <c r="G78" s="32">
        <v>10</v>
      </c>
      <c r="H78" s="33">
        <v>399</v>
      </c>
      <c r="I78" s="33">
        <v>262</v>
      </c>
      <c r="J78" s="23">
        <f>G78*H78</f>
        <v/>
      </c>
      <c r="K78" s="23">
        <f>J78-G78*I78</f>
        <v/>
      </c>
      <c r="L78" s="24">
        <f>IF(J78=0,0,K78/J78)</f>
        <v/>
      </c>
      <c r="M78" s="32">
        <f>MONTH(A78)</f>
        <v/>
      </c>
    </row>
    <row r="79">
      <c r="A79" s="34">
        <v>46152</v>
      </c>
      <c r="B79" s="22" t="s">
        <v>135</v>
      </c>
      <c r="C79" s="22" t="s">
        <v>19</v>
      </c>
      <c r="D79" s="22" t="s">
        <v>34</v>
      </c>
      <c r="E79" s="22" t="s">
        <v>29</v>
      </c>
      <c r="F79" s="22" t="s">
        <v>51</v>
      </c>
      <c r="G79" s="32">
        <v>8</v>
      </c>
      <c r="H79" s="33">
        <v>699</v>
      </c>
      <c r="I79" s="33">
        <v>512</v>
      </c>
      <c r="J79" s="23">
        <f>G79*H79</f>
        <v/>
      </c>
      <c r="K79" s="23">
        <f>J79-G79*I79</f>
        <v/>
      </c>
      <c r="L79" s="24">
        <f>IF(J79=0,0,K79/J79)</f>
        <v/>
      </c>
      <c r="M79" s="32">
        <f>MONTH(A79)</f>
        <v/>
      </c>
    </row>
    <row r="80">
      <c r="A80" s="34">
        <v>46153</v>
      </c>
      <c r="B80" s="22" t="s">
        <v>136</v>
      </c>
      <c r="C80" s="22" t="s">
        <v>20</v>
      </c>
      <c r="D80" s="22" t="s">
        <v>37</v>
      </c>
      <c r="E80" s="22" t="s">
        <v>29</v>
      </c>
      <c r="F80" s="22" t="s">
        <v>51</v>
      </c>
      <c r="G80" s="32">
        <v>7</v>
      </c>
      <c r="H80" s="33">
        <v>699</v>
      </c>
      <c r="I80" s="33">
        <v>512</v>
      </c>
      <c r="J80" s="23">
        <f>G80*H80</f>
        <v/>
      </c>
      <c r="K80" s="23">
        <f>J80-G80*I80</f>
        <v/>
      </c>
      <c r="L80" s="24">
        <f>IF(J80=0,0,K80/J80)</f>
        <v/>
      </c>
      <c r="M80" s="32">
        <f>MONTH(A80)</f>
        <v/>
      </c>
    </row>
    <row r="81">
      <c r="A81" s="34">
        <v>46154</v>
      </c>
      <c r="B81" s="22" t="s">
        <v>137</v>
      </c>
      <c r="C81" s="22" t="s">
        <v>21</v>
      </c>
      <c r="D81" s="22" t="s">
        <v>39</v>
      </c>
      <c r="E81" s="22" t="s">
        <v>28</v>
      </c>
      <c r="F81" s="22" t="s">
        <v>55</v>
      </c>
      <c r="G81" s="32">
        <v>3</v>
      </c>
      <c r="H81" s="33">
        <v>149</v>
      </c>
      <c r="I81" s="33">
        <v>92</v>
      </c>
      <c r="J81" s="23">
        <f>G81*H81</f>
        <v/>
      </c>
      <c r="K81" s="23">
        <f>J81-G81*I81</f>
        <v/>
      </c>
      <c r="L81" s="24">
        <f>IF(J81=0,0,K81/J81)</f>
        <v/>
      </c>
      <c r="M81" s="32">
        <f>MONTH(A81)</f>
        <v/>
      </c>
    </row>
    <row r="82">
      <c r="A82" s="34">
        <v>46156</v>
      </c>
      <c r="B82" s="22" t="s">
        <v>138</v>
      </c>
      <c r="C82" s="22" t="s">
        <v>20</v>
      </c>
      <c r="D82" s="22" t="s">
        <v>37</v>
      </c>
      <c r="E82" s="22" t="s">
        <v>26</v>
      </c>
      <c r="F82" s="22" t="s">
        <v>61</v>
      </c>
      <c r="G82" s="32">
        <v>3</v>
      </c>
      <c r="H82" s="33">
        <v>5299</v>
      </c>
      <c r="I82" s="33">
        <v>4180</v>
      </c>
      <c r="J82" s="23">
        <f>G82*H82</f>
        <v/>
      </c>
      <c r="K82" s="23">
        <f>J82-G82*I82</f>
        <v/>
      </c>
      <c r="L82" s="24">
        <f>IF(J82=0,0,K82/J82)</f>
        <v/>
      </c>
      <c r="M82" s="32">
        <f>MONTH(A82)</f>
        <v/>
      </c>
    </row>
    <row r="83">
      <c r="A83" s="34">
        <v>46157</v>
      </c>
      <c r="B83" s="22" t="s">
        <v>139</v>
      </c>
      <c r="C83" s="22" t="s">
        <v>21</v>
      </c>
      <c r="D83" s="22" t="s">
        <v>38</v>
      </c>
      <c r="E83" s="22" t="s">
        <v>28</v>
      </c>
      <c r="F83" s="22" t="s">
        <v>55</v>
      </c>
      <c r="G83" s="32">
        <v>2</v>
      </c>
      <c r="H83" s="33">
        <v>149</v>
      </c>
      <c r="I83" s="33">
        <v>92</v>
      </c>
      <c r="J83" s="23">
        <f>G83*H83</f>
        <v/>
      </c>
      <c r="K83" s="23">
        <f>J83-G83*I83</f>
        <v/>
      </c>
      <c r="L83" s="24">
        <f>IF(J83=0,0,K83/J83)</f>
        <v/>
      </c>
      <c r="M83" s="32">
        <f>MONTH(A83)</f>
        <v/>
      </c>
    </row>
    <row r="84">
      <c r="A84" s="34">
        <v>46159</v>
      </c>
      <c r="B84" s="22" t="s">
        <v>140</v>
      </c>
      <c r="C84" s="22" t="s">
        <v>19</v>
      </c>
      <c r="D84" s="22" t="s">
        <v>35</v>
      </c>
      <c r="E84" s="22" t="s">
        <v>29</v>
      </c>
      <c r="F84" s="22" t="s">
        <v>51</v>
      </c>
      <c r="G84" s="32">
        <v>2</v>
      </c>
      <c r="H84" s="33">
        <v>699</v>
      </c>
      <c r="I84" s="33">
        <v>512</v>
      </c>
      <c r="J84" s="23">
        <f>G84*H84</f>
        <v/>
      </c>
      <c r="K84" s="23">
        <f>J84-G84*I84</f>
        <v/>
      </c>
      <c r="L84" s="24">
        <f>IF(J84=0,0,K84/J84)</f>
        <v/>
      </c>
      <c r="M84" s="32">
        <f>MONTH(A84)</f>
        <v/>
      </c>
    </row>
    <row r="85">
      <c r="A85" s="34">
        <v>46159</v>
      </c>
      <c r="B85" s="22" t="s">
        <v>141</v>
      </c>
      <c r="C85" s="22" t="s">
        <v>21</v>
      </c>
      <c r="D85" s="22" t="s">
        <v>39</v>
      </c>
      <c r="E85" s="22" t="s">
        <v>29</v>
      </c>
      <c r="F85" s="22" t="s">
        <v>70</v>
      </c>
      <c r="G85" s="32">
        <v>1</v>
      </c>
      <c r="H85" s="33">
        <v>89</v>
      </c>
      <c r="I85" s="33">
        <v>56</v>
      </c>
      <c r="J85" s="23">
        <f>G85*H85</f>
        <v/>
      </c>
      <c r="K85" s="23">
        <f>J85-G85*I85</f>
        <v/>
      </c>
      <c r="L85" s="24">
        <f>IF(J85=0,0,K85/J85)</f>
        <v/>
      </c>
      <c r="M85" s="32">
        <f>MONTH(A85)</f>
        <v/>
      </c>
    </row>
    <row r="86">
      <c r="A86" s="34">
        <v>46160</v>
      </c>
      <c r="B86" s="22" t="s">
        <v>142</v>
      </c>
      <c r="C86" s="22" t="s">
        <v>22</v>
      </c>
      <c r="D86" s="22" t="s">
        <v>40</v>
      </c>
      <c r="E86" s="22" t="s">
        <v>28</v>
      </c>
      <c r="F86" s="22" t="s">
        <v>55</v>
      </c>
      <c r="G86" s="32">
        <v>10</v>
      </c>
      <c r="H86" s="33">
        <v>149</v>
      </c>
      <c r="I86" s="33">
        <v>92</v>
      </c>
      <c r="J86" s="23">
        <f>G86*H86</f>
        <v/>
      </c>
      <c r="K86" s="23">
        <f>J86-G86*I86</f>
        <v/>
      </c>
      <c r="L86" s="24">
        <f>IF(J86=0,0,K86/J86)</f>
        <v/>
      </c>
      <c r="M86" s="32">
        <f>MONTH(A86)</f>
        <v/>
      </c>
    </row>
    <row r="87">
      <c r="A87" s="34">
        <v>46160</v>
      </c>
      <c r="B87" s="22" t="s">
        <v>143</v>
      </c>
      <c r="C87" s="22" t="s">
        <v>21</v>
      </c>
      <c r="D87" s="22" t="s">
        <v>38</v>
      </c>
      <c r="E87" s="22" t="s">
        <v>27</v>
      </c>
      <c r="F87" s="22" t="s">
        <v>53</v>
      </c>
      <c r="G87" s="32">
        <v>4</v>
      </c>
      <c r="H87" s="33">
        <v>1299</v>
      </c>
      <c r="I87" s="33">
        <v>968</v>
      </c>
      <c r="J87" s="23">
        <f>G87*H87</f>
        <v/>
      </c>
      <c r="K87" s="23">
        <f>J87-G87*I87</f>
        <v/>
      </c>
      <c r="L87" s="24">
        <f>IF(J87=0,0,K87/J87)</f>
        <v/>
      </c>
      <c r="M87" s="32">
        <f>MONTH(A87)</f>
        <v/>
      </c>
    </row>
    <row r="88">
      <c r="A88" s="34">
        <v>46162</v>
      </c>
      <c r="B88" s="22" t="s">
        <v>144</v>
      </c>
      <c r="C88" s="22" t="s">
        <v>19</v>
      </c>
      <c r="D88" s="22" t="s">
        <v>34</v>
      </c>
      <c r="E88" s="22" t="s">
        <v>29</v>
      </c>
      <c r="F88" s="22" t="s">
        <v>51</v>
      </c>
      <c r="G88" s="32">
        <v>6</v>
      </c>
      <c r="H88" s="33">
        <v>699</v>
      </c>
      <c r="I88" s="33">
        <v>512</v>
      </c>
      <c r="J88" s="23">
        <f>G88*H88</f>
        <v/>
      </c>
      <c r="K88" s="23">
        <f>J88-G88*I88</f>
        <v/>
      </c>
      <c r="L88" s="24">
        <f>IF(J88=0,0,K88/J88)</f>
        <v/>
      </c>
      <c r="M88" s="32">
        <f>MONTH(A88)</f>
        <v/>
      </c>
    </row>
    <row r="89">
      <c r="A89" s="34">
        <v>46163</v>
      </c>
      <c r="B89" s="22" t="s">
        <v>145</v>
      </c>
      <c r="C89" s="22" t="s">
        <v>19</v>
      </c>
      <c r="D89" s="22" t="s">
        <v>35</v>
      </c>
      <c r="E89" s="22" t="s">
        <v>29</v>
      </c>
      <c r="F89" s="22" t="s">
        <v>51</v>
      </c>
      <c r="G89" s="32">
        <v>6</v>
      </c>
      <c r="H89" s="33">
        <v>699</v>
      </c>
      <c r="I89" s="33">
        <v>512</v>
      </c>
      <c r="J89" s="23">
        <f>G89*H89</f>
        <v/>
      </c>
      <c r="K89" s="23">
        <f>J89-G89*I89</f>
        <v/>
      </c>
      <c r="L89" s="24">
        <f>IF(J89=0,0,K89/J89)</f>
        <v/>
      </c>
      <c r="M89" s="32">
        <f>MONTH(A89)</f>
        <v/>
      </c>
    </row>
    <row r="90">
      <c r="A90" s="34">
        <v>46167</v>
      </c>
      <c r="B90" s="22" t="s">
        <v>146</v>
      </c>
      <c r="C90" s="22" t="s">
        <v>19</v>
      </c>
      <c r="D90" s="22" t="s">
        <v>34</v>
      </c>
      <c r="E90" s="22" t="s">
        <v>26</v>
      </c>
      <c r="F90" s="22" t="s">
        <v>61</v>
      </c>
      <c r="G90" s="32">
        <v>2</v>
      </c>
      <c r="H90" s="33">
        <v>5299</v>
      </c>
      <c r="I90" s="33">
        <v>4180</v>
      </c>
      <c r="J90" s="23">
        <f>G90*H90</f>
        <v/>
      </c>
      <c r="K90" s="23">
        <f>J90-G90*I90</f>
        <v/>
      </c>
      <c r="L90" s="24">
        <f>IF(J90=0,0,K90/J90)</f>
        <v/>
      </c>
      <c r="M90" s="32">
        <f>MONTH(A90)</f>
        <v/>
      </c>
    </row>
    <row r="91">
      <c r="A91" s="34">
        <v>46167</v>
      </c>
      <c r="B91" s="22" t="s">
        <v>147</v>
      </c>
      <c r="C91" s="22" t="s">
        <v>19</v>
      </c>
      <c r="D91" s="22" t="s">
        <v>34</v>
      </c>
      <c r="E91" s="22" t="s">
        <v>26</v>
      </c>
      <c r="F91" s="22" t="s">
        <v>73</v>
      </c>
      <c r="G91" s="32">
        <v>2</v>
      </c>
      <c r="H91" s="33">
        <v>6999</v>
      </c>
      <c r="I91" s="33">
        <v>5520</v>
      </c>
      <c r="J91" s="23">
        <f>G91*H91</f>
        <v/>
      </c>
      <c r="K91" s="23">
        <f>J91-G91*I91</f>
        <v/>
      </c>
      <c r="L91" s="24">
        <f>IF(J91=0,0,K91/J91)</f>
        <v/>
      </c>
      <c r="M91" s="32">
        <f>MONTH(A91)</f>
        <v/>
      </c>
    </row>
    <row r="92">
      <c r="A92" s="34">
        <v>46170</v>
      </c>
      <c r="B92" s="22" t="s">
        <v>148</v>
      </c>
      <c r="C92" s="22" t="s">
        <v>19</v>
      </c>
      <c r="D92" s="22" t="s">
        <v>34</v>
      </c>
      <c r="E92" s="22" t="s">
        <v>27</v>
      </c>
      <c r="F92" s="22" t="s">
        <v>53</v>
      </c>
      <c r="G92" s="32">
        <v>3</v>
      </c>
      <c r="H92" s="33">
        <v>1299</v>
      </c>
      <c r="I92" s="33">
        <v>968</v>
      </c>
      <c r="J92" s="23">
        <f>G92*H92</f>
        <v/>
      </c>
      <c r="K92" s="23">
        <f>J92-G92*I92</f>
        <v/>
      </c>
      <c r="L92" s="24">
        <f>IF(J92=0,0,K92/J92)</f>
        <v/>
      </c>
      <c r="M92" s="32">
        <f>MONTH(A92)</f>
        <v/>
      </c>
    </row>
    <row r="93">
      <c r="A93" s="34">
        <v>46170</v>
      </c>
      <c r="B93" s="22" t="s">
        <v>149</v>
      </c>
      <c r="C93" s="22" t="s">
        <v>19</v>
      </c>
      <c r="D93" s="22" t="s">
        <v>34</v>
      </c>
      <c r="E93" s="22" t="s">
        <v>27</v>
      </c>
      <c r="F93" s="22" t="s">
        <v>53</v>
      </c>
      <c r="G93" s="32">
        <v>4</v>
      </c>
      <c r="H93" s="33">
        <v>1299</v>
      </c>
      <c r="I93" s="33">
        <v>968</v>
      </c>
      <c r="J93" s="23">
        <f>G93*H93</f>
        <v/>
      </c>
      <c r="K93" s="23">
        <f>J93-G93*I93</f>
        <v/>
      </c>
      <c r="L93" s="24">
        <f>IF(J93=0,0,K93/J93)</f>
        <v/>
      </c>
      <c r="M93" s="32">
        <f>MONTH(A93)</f>
        <v/>
      </c>
    </row>
    <row r="94">
      <c r="A94" s="34">
        <v>46172</v>
      </c>
      <c r="B94" s="22" t="s">
        <v>150</v>
      </c>
      <c r="C94" s="22" t="s">
        <v>20</v>
      </c>
      <c r="D94" s="22" t="s">
        <v>37</v>
      </c>
      <c r="E94" s="22" t="s">
        <v>30</v>
      </c>
      <c r="F94" s="22" t="s">
        <v>57</v>
      </c>
      <c r="G94" s="32">
        <v>14</v>
      </c>
      <c r="H94" s="33">
        <v>259</v>
      </c>
      <c r="I94" s="33">
        <v>178</v>
      </c>
      <c r="J94" s="23">
        <f>G94*H94</f>
        <v/>
      </c>
      <c r="K94" s="23">
        <f>J94-G94*I94</f>
        <v/>
      </c>
      <c r="L94" s="24">
        <f>IF(J94=0,0,K94/J94)</f>
        <v/>
      </c>
      <c r="M94" s="32">
        <f>MONTH(A94)</f>
        <v/>
      </c>
    </row>
    <row r="95">
      <c r="A95" s="34">
        <v>46172</v>
      </c>
      <c r="B95" s="22" t="s">
        <v>151</v>
      </c>
      <c r="C95" s="22" t="s">
        <v>20</v>
      </c>
      <c r="D95" s="22" t="s">
        <v>37</v>
      </c>
      <c r="E95" s="22" t="s">
        <v>28</v>
      </c>
      <c r="F95" s="22" t="s">
        <v>68</v>
      </c>
      <c r="G95" s="32">
        <v>10</v>
      </c>
      <c r="H95" s="33">
        <v>399</v>
      </c>
      <c r="I95" s="33">
        <v>262</v>
      </c>
      <c r="J95" s="23">
        <f>G95*H95</f>
        <v/>
      </c>
      <c r="K95" s="23">
        <f>J95-G95*I95</f>
        <v/>
      </c>
      <c r="L95" s="24">
        <f>IF(J95=0,0,K95/J95)</f>
        <v/>
      </c>
      <c r="M95" s="32">
        <f>MONTH(A95)</f>
        <v/>
      </c>
    </row>
    <row r="96">
      <c r="A96" s="34">
        <v>46173</v>
      </c>
      <c r="B96" s="22" t="s">
        <v>152</v>
      </c>
      <c r="C96" s="22" t="s">
        <v>21</v>
      </c>
      <c r="D96" s="22" t="s">
        <v>38</v>
      </c>
      <c r="E96" s="22" t="s">
        <v>28</v>
      </c>
      <c r="F96" s="22" t="s">
        <v>55</v>
      </c>
      <c r="G96" s="32">
        <v>7</v>
      </c>
      <c r="H96" s="33">
        <v>149</v>
      </c>
      <c r="I96" s="33">
        <v>92</v>
      </c>
      <c r="J96" s="23">
        <f>G96*H96</f>
        <v/>
      </c>
      <c r="K96" s="23">
        <f>J96-G96*I96</f>
        <v/>
      </c>
      <c r="L96" s="24">
        <f>IF(J96=0,0,K96/J96)</f>
        <v/>
      </c>
      <c r="M96" s="32">
        <f>MONTH(A96)</f>
        <v/>
      </c>
    </row>
    <row r="97">
      <c r="A97" s="34">
        <v>46173</v>
      </c>
      <c r="B97" s="22" t="s">
        <v>153</v>
      </c>
      <c r="C97" s="22" t="s">
        <v>20</v>
      </c>
      <c r="D97" s="22" t="s">
        <v>37</v>
      </c>
      <c r="E97" s="22" t="s">
        <v>29</v>
      </c>
      <c r="F97" s="22" t="s">
        <v>70</v>
      </c>
      <c r="G97" s="32">
        <v>7</v>
      </c>
      <c r="H97" s="33">
        <v>89</v>
      </c>
      <c r="I97" s="33">
        <v>56</v>
      </c>
      <c r="J97" s="23">
        <f>G97*H97</f>
        <v/>
      </c>
      <c r="K97" s="23">
        <f>J97-G97*I97</f>
        <v/>
      </c>
      <c r="L97" s="24">
        <f>IF(J97=0,0,K97/J97)</f>
        <v/>
      </c>
      <c r="M97" s="32">
        <f>MONTH(A97)</f>
        <v/>
      </c>
    </row>
    <row r="98">
      <c r="A98" s="34">
        <v>46173</v>
      </c>
      <c r="B98" s="22" t="s">
        <v>154</v>
      </c>
      <c r="C98" s="22" t="s">
        <v>20</v>
      </c>
      <c r="D98" s="22" t="s">
        <v>37</v>
      </c>
      <c r="E98" s="22" t="s">
        <v>26</v>
      </c>
      <c r="F98" s="22" t="s">
        <v>73</v>
      </c>
      <c r="G98" s="32">
        <v>1</v>
      </c>
      <c r="H98" s="33">
        <v>6999</v>
      </c>
      <c r="I98" s="33">
        <v>5520</v>
      </c>
      <c r="J98" s="23">
        <f>G98*H98</f>
        <v/>
      </c>
      <c r="K98" s="23">
        <f>J98-G98*I98</f>
        <v/>
      </c>
      <c r="L98" s="24">
        <f>IF(J98=0,0,K98/J98)</f>
        <v/>
      </c>
      <c r="M98" s="32">
        <f>MONTH(A98)</f>
        <v/>
      </c>
    </row>
    <row r="99">
      <c r="A99" s="34">
        <v>46174</v>
      </c>
      <c r="B99" s="22" t="s">
        <v>155</v>
      </c>
      <c r="C99" s="22" t="s">
        <v>19</v>
      </c>
      <c r="D99" s="22" t="s">
        <v>34</v>
      </c>
      <c r="E99" s="22" t="s">
        <v>26</v>
      </c>
      <c r="F99" s="22" t="s">
        <v>73</v>
      </c>
      <c r="G99" s="32">
        <v>3</v>
      </c>
      <c r="H99" s="33">
        <v>6999</v>
      </c>
      <c r="I99" s="33">
        <v>5520</v>
      </c>
      <c r="J99" s="23">
        <f>G99*H99</f>
        <v/>
      </c>
      <c r="K99" s="23">
        <f>J99-G99*I99</f>
        <v/>
      </c>
      <c r="L99" s="24">
        <f>IF(J99=0,0,K99/J99)</f>
        <v/>
      </c>
      <c r="M99" s="32">
        <f>MONTH(A99)</f>
        <v/>
      </c>
    </row>
    <row r="100">
      <c r="A100" s="34">
        <v>46175</v>
      </c>
      <c r="B100" s="22" t="s">
        <v>156</v>
      </c>
      <c r="C100" s="22" t="s">
        <v>20</v>
      </c>
      <c r="D100" s="22" t="s">
        <v>36</v>
      </c>
      <c r="E100" s="22" t="s">
        <v>27</v>
      </c>
      <c r="F100" s="22" t="s">
        <v>66</v>
      </c>
      <c r="G100" s="32">
        <v>2</v>
      </c>
      <c r="H100" s="33">
        <v>2499</v>
      </c>
      <c r="I100" s="33">
        <v>1890</v>
      </c>
      <c r="J100" s="23">
        <f>G100*H100</f>
        <v/>
      </c>
      <c r="K100" s="23">
        <f>J100-G100*I100</f>
        <v/>
      </c>
      <c r="L100" s="24">
        <f>IF(J100=0,0,K100/J100)</f>
        <v/>
      </c>
      <c r="M100" s="32">
        <f>MONTH(A100)</f>
        <v/>
      </c>
    </row>
    <row r="101">
      <c r="A101" s="34">
        <v>46175</v>
      </c>
      <c r="B101" s="22" t="s">
        <v>157</v>
      </c>
      <c r="C101" s="22" t="s">
        <v>23</v>
      </c>
      <c r="D101" s="22" t="s">
        <v>41</v>
      </c>
      <c r="E101" s="22" t="s">
        <v>26</v>
      </c>
      <c r="F101" s="22" t="s">
        <v>73</v>
      </c>
      <c r="G101" s="32">
        <v>3</v>
      </c>
      <c r="H101" s="33">
        <v>6999</v>
      </c>
      <c r="I101" s="33">
        <v>5520</v>
      </c>
      <c r="J101" s="23">
        <f>G101*H101</f>
        <v/>
      </c>
      <c r="K101" s="23">
        <f>J101-G101*I101</f>
        <v/>
      </c>
      <c r="L101" s="24">
        <f>IF(J101=0,0,K101/J101)</f>
        <v/>
      </c>
      <c r="M101" s="32">
        <f>MONTH(A101)</f>
        <v/>
      </c>
    </row>
    <row r="102">
      <c r="A102" s="34">
        <v>46177</v>
      </c>
      <c r="B102" s="22" t="s">
        <v>158</v>
      </c>
      <c r="C102" s="22" t="s">
        <v>22</v>
      </c>
      <c r="D102" s="22" t="s">
        <v>40</v>
      </c>
      <c r="E102" s="22" t="s">
        <v>26</v>
      </c>
      <c r="F102" s="22" t="s">
        <v>73</v>
      </c>
      <c r="G102" s="32">
        <v>3</v>
      </c>
      <c r="H102" s="33">
        <v>6999</v>
      </c>
      <c r="I102" s="33">
        <v>5520</v>
      </c>
      <c r="J102" s="23">
        <f>G102*H102</f>
        <v/>
      </c>
      <c r="K102" s="23">
        <f>J102-G102*I102</f>
        <v/>
      </c>
      <c r="L102" s="24">
        <f>IF(J102=0,0,K102/J102)</f>
        <v/>
      </c>
      <c r="M102" s="32">
        <f>MONTH(A102)</f>
        <v/>
      </c>
    </row>
    <row r="103">
      <c r="A103" s="34">
        <v>46178</v>
      </c>
      <c r="B103" s="22" t="s">
        <v>159</v>
      </c>
      <c r="C103" s="22" t="s">
        <v>23</v>
      </c>
      <c r="D103" s="22" t="s">
        <v>41</v>
      </c>
      <c r="E103" s="22" t="s">
        <v>27</v>
      </c>
      <c r="F103" s="22" t="s">
        <v>66</v>
      </c>
      <c r="G103" s="32">
        <v>4</v>
      </c>
      <c r="H103" s="33">
        <v>2499</v>
      </c>
      <c r="I103" s="33">
        <v>1890</v>
      </c>
      <c r="J103" s="23">
        <f>G103*H103</f>
        <v/>
      </c>
      <c r="K103" s="23">
        <f>J103-G103*I103</f>
        <v/>
      </c>
      <c r="L103" s="24">
        <f>IF(J103=0,0,K103/J103)</f>
        <v/>
      </c>
      <c r="M103" s="32">
        <f>MONTH(A103)</f>
        <v/>
      </c>
    </row>
    <row r="104">
      <c r="A104" s="34">
        <v>46179</v>
      </c>
      <c r="B104" s="22" t="s">
        <v>160</v>
      </c>
      <c r="C104" s="22" t="s">
        <v>19</v>
      </c>
      <c r="D104" s="22" t="s">
        <v>34</v>
      </c>
      <c r="E104" s="22" t="s">
        <v>30</v>
      </c>
      <c r="F104" s="22" t="s">
        <v>57</v>
      </c>
      <c r="G104" s="32">
        <v>3</v>
      </c>
      <c r="H104" s="33">
        <v>259</v>
      </c>
      <c r="I104" s="33">
        <v>178</v>
      </c>
      <c r="J104" s="23">
        <f>G104*H104</f>
        <v/>
      </c>
      <c r="K104" s="23">
        <f>J104-G104*I104</f>
        <v/>
      </c>
      <c r="L104" s="24">
        <f>IF(J104=0,0,K104/J104)</f>
        <v/>
      </c>
      <c r="M104" s="32">
        <f>MONTH(A104)</f>
        <v/>
      </c>
    </row>
    <row r="105">
      <c r="A105" s="34">
        <v>46181</v>
      </c>
      <c r="B105" s="22" t="s">
        <v>161</v>
      </c>
      <c r="C105" s="22" t="s">
        <v>19</v>
      </c>
      <c r="D105" s="22" t="s">
        <v>34</v>
      </c>
      <c r="E105" s="22" t="s">
        <v>27</v>
      </c>
      <c r="F105" s="22" t="s">
        <v>53</v>
      </c>
      <c r="G105" s="32">
        <v>1</v>
      </c>
      <c r="H105" s="33">
        <v>1299</v>
      </c>
      <c r="I105" s="33">
        <v>968</v>
      </c>
      <c r="J105" s="23">
        <f>G105*H105</f>
        <v/>
      </c>
      <c r="K105" s="23">
        <f>J105-G105*I105</f>
        <v/>
      </c>
      <c r="L105" s="24">
        <f>IF(J105=0,0,K105/J105)</f>
        <v/>
      </c>
      <c r="M105" s="32">
        <f>MONTH(A105)</f>
        <v/>
      </c>
    </row>
    <row r="106">
      <c r="A106" s="34">
        <v>46182</v>
      </c>
      <c r="B106" s="22" t="s">
        <v>162</v>
      </c>
      <c r="C106" s="22" t="s">
        <v>23</v>
      </c>
      <c r="D106" s="22" t="s">
        <v>41</v>
      </c>
      <c r="E106" s="22" t="s">
        <v>28</v>
      </c>
      <c r="F106" s="22" t="s">
        <v>55</v>
      </c>
      <c r="G106" s="32">
        <v>5</v>
      </c>
      <c r="H106" s="33">
        <v>149</v>
      </c>
      <c r="I106" s="33">
        <v>92</v>
      </c>
      <c r="J106" s="23">
        <f>G106*H106</f>
        <v/>
      </c>
      <c r="K106" s="23">
        <f>J106-G106*I106</f>
        <v/>
      </c>
      <c r="L106" s="24">
        <f>IF(J106=0,0,K106/J106)</f>
        <v/>
      </c>
      <c r="M106" s="32">
        <f>MONTH(A106)</f>
        <v/>
      </c>
    </row>
    <row r="107">
      <c r="A107" s="34">
        <v>46183</v>
      </c>
      <c r="B107" s="22" t="s">
        <v>163</v>
      </c>
      <c r="C107" s="22" t="s">
        <v>20</v>
      </c>
      <c r="D107" s="22" t="s">
        <v>37</v>
      </c>
      <c r="E107" s="22" t="s">
        <v>26</v>
      </c>
      <c r="F107" s="22" t="s">
        <v>73</v>
      </c>
      <c r="G107" s="32">
        <v>3</v>
      </c>
      <c r="H107" s="33">
        <v>6999</v>
      </c>
      <c r="I107" s="33">
        <v>5520</v>
      </c>
      <c r="J107" s="23">
        <f>G107*H107</f>
        <v/>
      </c>
      <c r="K107" s="23">
        <f>J107-G107*I107</f>
        <v/>
      </c>
      <c r="L107" s="24">
        <f>IF(J107=0,0,K107/J107)</f>
        <v/>
      </c>
      <c r="M107" s="32">
        <f>MONTH(A107)</f>
        <v/>
      </c>
    </row>
    <row r="108">
      <c r="A108" s="34">
        <v>46183</v>
      </c>
      <c r="B108" s="22" t="s">
        <v>164</v>
      </c>
      <c r="C108" s="22" t="s">
        <v>23</v>
      </c>
      <c r="D108" s="22" t="s">
        <v>41</v>
      </c>
      <c r="E108" s="22" t="s">
        <v>26</v>
      </c>
      <c r="F108" s="22" t="s">
        <v>61</v>
      </c>
      <c r="G108" s="32">
        <v>1</v>
      </c>
      <c r="H108" s="33">
        <v>5299</v>
      </c>
      <c r="I108" s="33">
        <v>4180</v>
      </c>
      <c r="J108" s="23">
        <f>G108*H108</f>
        <v/>
      </c>
      <c r="K108" s="23">
        <f>J108-G108*I108</f>
        <v/>
      </c>
      <c r="L108" s="24">
        <f>IF(J108=0,0,K108/J108)</f>
        <v/>
      </c>
      <c r="M108" s="32">
        <f>MONTH(A108)</f>
        <v/>
      </c>
    </row>
    <row r="109">
      <c r="A109" s="34">
        <v>46185</v>
      </c>
      <c r="B109" s="22" t="s">
        <v>165</v>
      </c>
      <c r="C109" s="22" t="s">
        <v>23</v>
      </c>
      <c r="D109" s="22" t="s">
        <v>41</v>
      </c>
      <c r="E109" s="22" t="s">
        <v>28</v>
      </c>
      <c r="F109" s="22" t="s">
        <v>55</v>
      </c>
      <c r="G109" s="32">
        <v>3</v>
      </c>
      <c r="H109" s="33">
        <v>149</v>
      </c>
      <c r="I109" s="33">
        <v>92</v>
      </c>
      <c r="J109" s="23">
        <f>G109*H109</f>
        <v/>
      </c>
      <c r="K109" s="23">
        <f>J109-G109*I109</f>
        <v/>
      </c>
      <c r="L109" s="24">
        <f>IF(J109=0,0,K109/J109)</f>
        <v/>
      </c>
      <c r="M109" s="32">
        <f>MONTH(A109)</f>
        <v/>
      </c>
    </row>
    <row r="110">
      <c r="A110" s="34">
        <v>46187</v>
      </c>
      <c r="B110" s="22" t="s">
        <v>166</v>
      </c>
      <c r="C110" s="22" t="s">
        <v>19</v>
      </c>
      <c r="D110" s="22" t="s">
        <v>35</v>
      </c>
      <c r="E110" s="22" t="s">
        <v>28</v>
      </c>
      <c r="F110" s="22" t="s">
        <v>68</v>
      </c>
      <c r="G110" s="32">
        <v>6</v>
      </c>
      <c r="H110" s="33">
        <v>399</v>
      </c>
      <c r="I110" s="33">
        <v>262</v>
      </c>
      <c r="J110" s="23">
        <f>G110*H110</f>
        <v/>
      </c>
      <c r="K110" s="23">
        <f>J110-G110*I110</f>
        <v/>
      </c>
      <c r="L110" s="24">
        <f>IF(J110=0,0,K110/J110)</f>
        <v/>
      </c>
      <c r="M110" s="32">
        <f>MONTH(A110)</f>
        <v/>
      </c>
    </row>
    <row r="111">
      <c r="A111" s="34">
        <v>46187</v>
      </c>
      <c r="B111" s="22" t="s">
        <v>167</v>
      </c>
      <c r="C111" s="22" t="s">
        <v>20</v>
      </c>
      <c r="D111" s="22" t="s">
        <v>37</v>
      </c>
      <c r="E111" s="22" t="s">
        <v>29</v>
      </c>
      <c r="F111" s="22" t="s">
        <v>70</v>
      </c>
      <c r="G111" s="32">
        <v>1</v>
      </c>
      <c r="H111" s="33">
        <v>89</v>
      </c>
      <c r="I111" s="33">
        <v>56</v>
      </c>
      <c r="J111" s="23">
        <f>G111*H111</f>
        <v/>
      </c>
      <c r="K111" s="23">
        <f>J111-G111*I111</f>
        <v/>
      </c>
      <c r="L111" s="24">
        <f>IF(J111=0,0,K111/J111)</f>
        <v/>
      </c>
      <c r="M111" s="32">
        <f>MONTH(A111)</f>
        <v/>
      </c>
    </row>
    <row r="112">
      <c r="A112" s="34">
        <v>46187</v>
      </c>
      <c r="B112" s="22" t="s">
        <v>168</v>
      </c>
      <c r="C112" s="22" t="s">
        <v>20</v>
      </c>
      <c r="D112" s="22" t="s">
        <v>37</v>
      </c>
      <c r="E112" s="22" t="s">
        <v>26</v>
      </c>
      <c r="F112" s="22" t="s">
        <v>73</v>
      </c>
      <c r="G112" s="32">
        <v>1</v>
      </c>
      <c r="H112" s="33">
        <v>6999</v>
      </c>
      <c r="I112" s="33">
        <v>5520</v>
      </c>
      <c r="J112" s="23">
        <f>G112*H112</f>
        <v/>
      </c>
      <c r="K112" s="23">
        <f>J112-G112*I112</f>
        <v/>
      </c>
      <c r="L112" s="24">
        <f>IF(J112=0,0,K112/J112)</f>
        <v/>
      </c>
      <c r="M112" s="32">
        <f>MONTH(A112)</f>
        <v/>
      </c>
    </row>
    <row r="113">
      <c r="A113" s="34">
        <v>46187</v>
      </c>
      <c r="B113" s="22" t="s">
        <v>169</v>
      </c>
      <c r="C113" s="22" t="s">
        <v>21</v>
      </c>
      <c r="D113" s="22" t="s">
        <v>38</v>
      </c>
      <c r="E113" s="22" t="s">
        <v>26</v>
      </c>
      <c r="F113" s="22" t="s">
        <v>61</v>
      </c>
      <c r="G113" s="32">
        <v>1</v>
      </c>
      <c r="H113" s="33">
        <v>5299</v>
      </c>
      <c r="I113" s="33">
        <v>4180</v>
      </c>
      <c r="J113" s="23">
        <f>G113*H113</f>
        <v/>
      </c>
      <c r="K113" s="23">
        <f>J113-G113*I113</f>
        <v/>
      </c>
      <c r="L113" s="24">
        <f>IF(J113=0,0,K113/J113)</f>
        <v/>
      </c>
      <c r="M113" s="32">
        <f>MONTH(A113)</f>
        <v/>
      </c>
    </row>
    <row r="114">
      <c r="A114" s="34">
        <v>46188</v>
      </c>
      <c r="B114" s="22" t="s">
        <v>170</v>
      </c>
      <c r="C114" s="22" t="s">
        <v>20</v>
      </c>
      <c r="D114" s="22" t="s">
        <v>36</v>
      </c>
      <c r="E114" s="22" t="s">
        <v>28</v>
      </c>
      <c r="F114" s="22" t="s">
        <v>68</v>
      </c>
      <c r="G114" s="32">
        <v>5</v>
      </c>
      <c r="H114" s="33">
        <v>399</v>
      </c>
      <c r="I114" s="33">
        <v>262</v>
      </c>
      <c r="J114" s="23">
        <f>G114*H114</f>
        <v/>
      </c>
      <c r="K114" s="23">
        <f>J114-G114*I114</f>
        <v/>
      </c>
      <c r="L114" s="24">
        <f>IF(J114=0,0,K114/J114)</f>
        <v/>
      </c>
      <c r="M114" s="32">
        <f>MONTH(A114)</f>
        <v/>
      </c>
    </row>
    <row r="115">
      <c r="A115" s="34">
        <v>46190</v>
      </c>
      <c r="B115" s="22" t="s">
        <v>171</v>
      </c>
      <c r="C115" s="22" t="s">
        <v>22</v>
      </c>
      <c r="D115" s="22" t="s">
        <v>40</v>
      </c>
      <c r="E115" s="22" t="s">
        <v>30</v>
      </c>
      <c r="F115" s="22" t="s">
        <v>57</v>
      </c>
      <c r="G115" s="32">
        <v>4</v>
      </c>
      <c r="H115" s="33">
        <v>259</v>
      </c>
      <c r="I115" s="33">
        <v>178</v>
      </c>
      <c r="J115" s="23">
        <f>G115*H115</f>
        <v/>
      </c>
      <c r="K115" s="23">
        <f>J115-G115*I115</f>
        <v/>
      </c>
      <c r="L115" s="24">
        <f>IF(J115=0,0,K115/J115)</f>
        <v/>
      </c>
      <c r="M115" s="32">
        <f>MONTH(A115)</f>
        <v/>
      </c>
    </row>
    <row r="116">
      <c r="A116" s="34">
        <v>46191</v>
      </c>
      <c r="B116" s="22" t="s">
        <v>172</v>
      </c>
      <c r="C116" s="22" t="s">
        <v>19</v>
      </c>
      <c r="D116" s="22" t="s">
        <v>34</v>
      </c>
      <c r="E116" s="22" t="s">
        <v>29</v>
      </c>
      <c r="F116" s="22" t="s">
        <v>51</v>
      </c>
      <c r="G116" s="32">
        <v>1</v>
      </c>
      <c r="H116" s="33">
        <v>699</v>
      </c>
      <c r="I116" s="33">
        <v>512</v>
      </c>
      <c r="J116" s="23">
        <f>G116*H116</f>
        <v/>
      </c>
      <c r="K116" s="23">
        <f>J116-G116*I116</f>
        <v/>
      </c>
      <c r="L116" s="24">
        <f>IF(J116=0,0,K116/J116)</f>
        <v/>
      </c>
      <c r="M116" s="32">
        <f>MONTH(A116)</f>
        <v/>
      </c>
    </row>
    <row r="117">
      <c r="A117" s="34">
        <v>46194</v>
      </c>
      <c r="B117" s="22" t="s">
        <v>173</v>
      </c>
      <c r="C117" s="22" t="s">
        <v>19</v>
      </c>
      <c r="D117" s="22" t="s">
        <v>34</v>
      </c>
      <c r="E117" s="22" t="s">
        <v>27</v>
      </c>
      <c r="F117" s="22" t="s">
        <v>66</v>
      </c>
      <c r="G117" s="32">
        <v>3</v>
      </c>
      <c r="H117" s="33">
        <v>2499</v>
      </c>
      <c r="I117" s="33">
        <v>1890</v>
      </c>
      <c r="J117" s="23">
        <f>G117*H117</f>
        <v/>
      </c>
      <c r="K117" s="23">
        <f>J117-G117*I117</f>
        <v/>
      </c>
      <c r="L117" s="24">
        <f>IF(J117=0,0,K117/J117)</f>
        <v/>
      </c>
      <c r="M117" s="32">
        <f>MONTH(A117)</f>
        <v/>
      </c>
    </row>
    <row r="118">
      <c r="A118" s="34">
        <v>46195</v>
      </c>
      <c r="B118" s="22" t="s">
        <v>174</v>
      </c>
      <c r="C118" s="22" t="s">
        <v>20</v>
      </c>
      <c r="D118" s="22" t="s">
        <v>36</v>
      </c>
      <c r="E118" s="22" t="s">
        <v>27</v>
      </c>
      <c r="F118" s="22" t="s">
        <v>66</v>
      </c>
      <c r="G118" s="32">
        <v>3</v>
      </c>
      <c r="H118" s="33">
        <v>2499</v>
      </c>
      <c r="I118" s="33">
        <v>1890</v>
      </c>
      <c r="J118" s="23">
        <f>G118*H118</f>
        <v/>
      </c>
      <c r="K118" s="23">
        <f>J118-G118*I118</f>
        <v/>
      </c>
      <c r="L118" s="24">
        <f>IF(J118=0,0,K118/J118)</f>
        <v/>
      </c>
      <c r="M118" s="32">
        <f>MONTH(A118)</f>
        <v/>
      </c>
    </row>
    <row r="119">
      <c r="A119" s="34">
        <v>46195</v>
      </c>
      <c r="B119" s="22" t="s">
        <v>175</v>
      </c>
      <c r="C119" s="22" t="s">
        <v>19</v>
      </c>
      <c r="D119" s="22" t="s">
        <v>34</v>
      </c>
      <c r="E119" s="22" t="s">
        <v>26</v>
      </c>
      <c r="F119" s="22" t="s">
        <v>73</v>
      </c>
      <c r="G119" s="32">
        <v>1</v>
      </c>
      <c r="H119" s="33">
        <v>6999</v>
      </c>
      <c r="I119" s="33">
        <v>5520</v>
      </c>
      <c r="J119" s="23">
        <f>G119*H119</f>
        <v/>
      </c>
      <c r="K119" s="23">
        <f>J119-G119*I119</f>
        <v/>
      </c>
      <c r="L119" s="24">
        <f>IF(J119=0,0,K119/J119)</f>
        <v/>
      </c>
      <c r="M119" s="32">
        <f>MONTH(A119)</f>
        <v/>
      </c>
    </row>
    <row r="120">
      <c r="A120" s="34">
        <v>46201</v>
      </c>
      <c r="B120" s="22" t="s">
        <v>176</v>
      </c>
      <c r="C120" s="22" t="s">
        <v>19</v>
      </c>
      <c r="D120" s="22" t="s">
        <v>35</v>
      </c>
      <c r="E120" s="22" t="s">
        <v>27</v>
      </c>
      <c r="F120" s="22" t="s">
        <v>53</v>
      </c>
      <c r="G120" s="32">
        <v>2</v>
      </c>
      <c r="H120" s="33">
        <v>1299</v>
      </c>
      <c r="I120" s="33">
        <v>968</v>
      </c>
      <c r="J120" s="23">
        <f>G120*H120</f>
        <v/>
      </c>
      <c r="K120" s="23">
        <f>J120-G120*I120</f>
        <v/>
      </c>
      <c r="L120" s="24">
        <f>IF(J120=0,0,K120/J120)</f>
        <v/>
      </c>
      <c r="M120" s="32">
        <f>MONTH(A120)</f>
        <v/>
      </c>
    </row>
    <row r="121">
      <c r="A121" s="34">
        <v>46201</v>
      </c>
      <c r="B121" s="22" t="s">
        <v>177</v>
      </c>
      <c r="C121" s="22" t="s">
        <v>20</v>
      </c>
      <c r="D121" s="22" t="s">
        <v>36</v>
      </c>
      <c r="E121" s="22" t="s">
        <v>28</v>
      </c>
      <c r="F121" s="22" t="s">
        <v>55</v>
      </c>
      <c r="G121" s="32">
        <v>3</v>
      </c>
      <c r="H121" s="33">
        <v>149</v>
      </c>
      <c r="I121" s="33">
        <v>92</v>
      </c>
      <c r="J121" s="23">
        <f>G121*H121</f>
        <v/>
      </c>
      <c r="K121" s="23">
        <f>J121-G121*I121</f>
        <v/>
      </c>
      <c r="L121" s="24">
        <f>IF(J121=0,0,K121/J121)</f>
        <v/>
      </c>
      <c r="M121" s="32">
        <f>MONTH(A121)</f>
        <v/>
      </c>
    </row>
  </sheetData>
  <autoFilter ref="A1:M121"/>
  <pageMargins left="0.5" right="0.5" top="0.6" bottom="0.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BA7517"/>
  </sheetPr>
  <dimension ref="A1:D10"/>
  <sheetViews>
    <sheetView showGridLines="0" tabSelected="0" workbookViewId="0"/>
  </sheetViews>
  <sheetFormatPr xmlns:x14ac="http://schemas.microsoft.com/office/spreadsheetml/2009/9/ac" defaultRowHeight="15" x14ac:dyDescent="0.25"/>
  <cols>
    <col min="1" max="1" width="16" customWidth="1"/>
    <col min="2" max="2" width="18" customWidth="1"/>
    <col min="3" max="3" width="12" customWidth="1"/>
    <col min="4" max="4" width="12" customWidth="1"/>
  </cols>
  <sheetData>
    <row r="1" ht="30" customHeight="1">
      <c r="A1" s="14" t="s">
        <v>178</v>
      </c>
      <c r="B1" s="14"/>
      <c r="C1" s="14"/>
      <c r="D1" s="14"/>
    </row>
    <row r="2" ht="18" customHeight="1">
      <c r="A2" s="15" t="s">
        <v>179</v>
      </c>
      <c r="B2" s="15"/>
      <c r="C2" s="15"/>
      <c r="D2" s="15"/>
    </row>
    <row r="3" ht="8" customHeight="1"/>
    <row r="4" ht="20" customHeight="1">
      <c r="A4" s="21" t="s">
        <v>14</v>
      </c>
      <c r="B4" s="21" t="s">
        <v>180</v>
      </c>
    </row>
    <row r="5">
      <c r="A5" s="31" t="s">
        <v>19</v>
      </c>
      <c r="B5" s="30">
        <v>140000</v>
      </c>
    </row>
    <row r="6">
      <c r="A6" s="31" t="s">
        <v>20</v>
      </c>
      <c r="B6" s="30">
        <v>130000</v>
      </c>
    </row>
    <row r="7">
      <c r="A7" s="31" t="s">
        <v>21</v>
      </c>
      <c r="B7" s="30">
        <v>140000</v>
      </c>
    </row>
    <row r="8">
      <c r="A8" s="31" t="s">
        <v>22</v>
      </c>
      <c r="B8" s="30">
        <v>90000</v>
      </c>
    </row>
    <row r="9">
      <c r="A9" s="31" t="s">
        <v>23</v>
      </c>
      <c r="B9" s="30">
        <v>90000</v>
      </c>
    </row>
    <row r="10" ht="20" customHeight="1">
      <c r="A10" s="26" t="s">
        <v>12</v>
      </c>
      <c r="B10" s="27">
        <f>SUM(B5:B9)</f>
        <v/>
      </c>
    </row>
  </sheetData>
  <mergeCells count="2">
    <mergeCell ref="A1:D1"/>
    <mergeCell ref="A2:D2"/>
  </mergeCells>
  <pageMargins left="0.5" right="0.5" top="0.6" bottom="0.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88780"/>
  </sheetPr>
  <dimension ref="A1:H9"/>
  <sheetViews>
    <sheetView showGridLines="0" tabSelected="0" workbookViewId="0"/>
  </sheetViews>
  <sheetFormatPr xmlns:x14ac="http://schemas.microsoft.com/office/spreadsheetml/2009/9/ac" defaultRowHeight="15" x14ac:dyDescent="0.25"/>
  <cols>
    <col min="1" max="1" width="22" customWidth="1"/>
    <col min="2" max="8" width="14" customWidth="1"/>
  </cols>
  <sheetData>
    <row r="1" ht="30" customHeight="1">
      <c r="A1" s="14" t="s">
        <v>181</v>
      </c>
      <c r="B1" s="14"/>
      <c r="C1" s="14"/>
      <c r="D1" s="14"/>
      <c r="E1" s="14"/>
      <c r="F1" s="14"/>
      <c r="G1" s="14"/>
      <c r="H1" s="14"/>
    </row>
    <row r="3" ht="32" customHeight="1">
      <c r="A3" s="35" t="s">
        <v>182</v>
      </c>
      <c r="B3" s="35"/>
      <c r="C3" s="35"/>
      <c r="D3" s="35"/>
      <c r="E3" s="35"/>
      <c r="F3" s="35"/>
      <c r="G3" s="35"/>
      <c r="H3" s="35"/>
    </row>
    <row r="4" ht="32" customHeight="1">
      <c r="A4" s="35" t="s">
        <v>183</v>
      </c>
      <c r="B4" s="35"/>
      <c r="C4" s="35"/>
      <c r="D4" s="35"/>
      <c r="E4" s="35"/>
      <c r="F4" s="35"/>
      <c r="G4" s="35"/>
      <c r="H4" s="35"/>
    </row>
    <row r="5" ht="32" customHeight="1">
      <c r="A5" s="35" t="s">
        <v>184</v>
      </c>
      <c r="B5" s="35"/>
      <c r="C5" s="35"/>
      <c r="D5" s="35"/>
      <c r="E5" s="35"/>
      <c r="F5" s="35"/>
      <c r="G5" s="35"/>
      <c r="H5" s="35"/>
    </row>
    <row r="6" ht="32" customHeight="1">
      <c r="A6" s="35" t="s">
        <v>185</v>
      </c>
      <c r="B6" s="35"/>
      <c r="C6" s="35"/>
      <c r="D6" s="35"/>
      <c r="E6" s="35"/>
      <c r="F6" s="35"/>
      <c r="G6" s="35"/>
      <c r="H6" s="35"/>
    </row>
    <row r="7" ht="32" customHeight="1">
      <c r="A7" s="35" t="s">
        <v>186</v>
      </c>
      <c r="B7" s="35"/>
      <c r="C7" s="35"/>
      <c r="D7" s="35"/>
      <c r="E7" s="35"/>
      <c r="F7" s="35"/>
      <c r="G7" s="35"/>
      <c r="H7" s="35"/>
    </row>
    <row r="8" ht="32" customHeight="1">
      <c r="A8" s="35" t="s">
        <v>187</v>
      </c>
      <c r="B8" s="35"/>
      <c r="C8" s="35"/>
      <c r="D8" s="35"/>
      <c r="E8" s="35"/>
      <c r="F8" s="35"/>
      <c r="G8" s="35"/>
      <c r="H8" s="35"/>
    </row>
    <row r="9" ht="32" customHeight="1">
      <c r="A9" s="35" t="s">
        <v>188</v>
      </c>
      <c r="B9" s="35"/>
      <c r="C9" s="35"/>
      <c r="D9" s="35"/>
      <c r="E9" s="35"/>
      <c r="F9" s="35"/>
      <c r="G9" s="35"/>
      <c r="H9" s="35"/>
    </row>
  </sheetData>
  <mergeCells count="8">
    <mergeCell ref="A1:H1"/>
    <mergeCell ref="A3:H3"/>
    <mergeCell ref="A4:H4"/>
    <mergeCell ref="A5:H5"/>
    <mergeCell ref="A6:H6"/>
    <mergeCell ref="A7:H7"/>
    <mergeCell ref="A8:H8"/>
    <mergeCell ref="A9:H9"/>
  </mergeCells>
  <pageMargins left="0.5" right="0.5" top="0.6" bottom="0.6" header="0.3" footer="0.3"/>
</worksheet>
</file>